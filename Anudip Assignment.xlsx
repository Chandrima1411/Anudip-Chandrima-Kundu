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RIMA\Desktop\"/>
    </mc:Choice>
  </mc:AlternateContent>
  <xr:revisionPtr revIDLastSave="0" documentId="8_{A9C1E0C6-B283-4B7F-9B46-60D788874540}" xr6:coauthVersionLast="47" xr6:coauthVersionMax="47" xr10:uidLastSave="{00000000-0000-0000-0000-000000000000}"/>
  <bookViews>
    <workbookView xWindow="-108" yWindow="-108" windowWidth="23256" windowHeight="12456" xr2:uid="{72AA57FD-3BF1-4D7D-8533-3019303104D0}"/>
  </bookViews>
  <sheets>
    <sheet name="Sheet1" sheetId="1" r:id="rId1"/>
  </sheets>
  <definedNames>
    <definedName name="_xlnm._FilterDatabase" localSheetId="0" hidden="1">Sheet1!$H$15:$P$25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1" l="1"/>
  <c r="B43" i="1"/>
  <c r="E28" i="1"/>
  <c r="F15" i="1"/>
  <c r="B34" i="1"/>
  <c r="B28" i="1"/>
  <c r="B21" i="1"/>
  <c r="B15" i="1"/>
  <c r="N11" i="1"/>
  <c r="N7" i="1"/>
  <c r="N3" i="1"/>
</calcChain>
</file>

<file path=xl/sharedStrings.xml><?xml version="1.0" encoding="utf-8"?>
<sst xmlns="http://schemas.openxmlformats.org/spreadsheetml/2006/main" count="297" uniqueCount="72">
  <si>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</si>
  <si>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</si>
  <si>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</si>
  <si>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</si>
  <si>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</si>
  <si>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</si>
  <si>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</si>
  <si>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</si>
  <si>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</si>
  <si>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East</t>
  </si>
  <si>
    <t>Amit</t>
  </si>
  <si>
    <t>Laptop</t>
  </si>
  <si>
    <t>Electronics</t>
  </si>
  <si>
    <t>West</t>
  </si>
  <si>
    <t>Priya</t>
  </si>
  <si>
    <t>Phone</t>
  </si>
  <si>
    <t>North</t>
  </si>
  <si>
    <t>Rahul</t>
  </si>
  <si>
    <t>Chair</t>
  </si>
  <si>
    <t>Furniture</t>
  </si>
  <si>
    <t>South</t>
  </si>
  <si>
    <t>Neha</t>
  </si>
  <si>
    <t>Table</t>
  </si>
  <si>
    <t>Desk</t>
  </si>
  <si>
    <t>Question 1</t>
  </si>
  <si>
    <t>Total_Sales(High to Low)</t>
  </si>
  <si>
    <t>Q1. Sort Total_Sales from Highest to Lowest.</t>
  </si>
  <si>
    <t>Q2. Filter data to show only "Electronics" category.</t>
  </si>
  <si>
    <t>Q3. Filter sales done by Amit in East region.</t>
  </si>
  <si>
    <t>Q4. Find total sales of all orders.</t>
  </si>
  <si>
    <t>Q5. Find total quantity sold.</t>
  </si>
  <si>
    <t>Q6. Find average Total_Sales.</t>
  </si>
  <si>
    <t>Q7. Find average quantity sold per order.</t>
  </si>
  <si>
    <t>Q8. Count total number of orders.</t>
  </si>
  <si>
    <t>Q9. Count number of Furniture orders.</t>
  </si>
  <si>
    <t>Q10. Find total sales for Electronics category.</t>
  </si>
  <si>
    <t>Q11. Find total sales done by Amit.</t>
  </si>
  <si>
    <t>Q12. Total sales of Electronics in East region.</t>
  </si>
  <si>
    <t>Q13. Total sales by Priya in West region.</t>
  </si>
  <si>
    <t>Q14. Highlight Total_Sales greater than 1,00,000.</t>
  </si>
  <si>
    <t>Q15. Highlight Quantity less than 3.</t>
  </si>
  <si>
    <t>Q16. Count orders where:</t>
  </si>
  <si>
    <t>Category = Electronics</t>
  </si>
  <si>
    <t>Quantity &gt; 3</t>
  </si>
  <si>
    <t>Question 2</t>
  </si>
  <si>
    <t>Question 3</t>
  </si>
  <si>
    <t>Question 4</t>
  </si>
  <si>
    <t>Total Sales of all Orders</t>
  </si>
  <si>
    <t>Question 5</t>
  </si>
  <si>
    <t>Total Quantity Sold</t>
  </si>
  <si>
    <t>Question 6</t>
  </si>
  <si>
    <t>Average Total Sales</t>
  </si>
  <si>
    <t>Question 7</t>
  </si>
  <si>
    <t>Average Quantity Per Order</t>
  </si>
  <si>
    <t>Question 8</t>
  </si>
  <si>
    <t>Total No of Orders</t>
  </si>
  <si>
    <t>Question 9</t>
  </si>
  <si>
    <t>Number of Furniture Orders</t>
  </si>
  <si>
    <t>Question 10</t>
  </si>
  <si>
    <t>Total Sales for Electronics Category</t>
  </si>
  <si>
    <t>Question 11</t>
  </si>
  <si>
    <t>Total Sales done by Amit</t>
  </si>
  <si>
    <t>Question 12</t>
  </si>
  <si>
    <t>Total Sales of Electronics in East Region</t>
  </si>
  <si>
    <t>Question  13</t>
  </si>
  <si>
    <t>Total Sales By Priya In West Region</t>
  </si>
  <si>
    <t>CRITERIA RANGE</t>
  </si>
  <si>
    <t>COUNTIFS</t>
  </si>
  <si>
    <t>&gt;3</t>
  </si>
  <si>
    <t>Question 16</t>
  </si>
  <si>
    <t>Question 14</t>
  </si>
  <si>
    <t>Question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</si>
</sst>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0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left" vertical="center" indent="1"/>
    </xf>
    <xf numFmtId="0" fontId="1" fillId="3" borderId="9" xfId="0" applyFont="1" applyFill="1" applyBorder="1" applyAlignment="1">
      <alignment horizontal="left" vertical="center" indent="1"/>
    </xf>
    <xf numFmtId="0" fontId="1" fillId="3" borderId="9" xfId="0" applyFont="1" applyFill="1" applyBorder="1"/>
    <xf numFmtId="0" fontId="1" fillId="3" borderId="10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14" fontId="0" fillId="4" borderId="1" xfId="0" applyNumberFormat="1" applyFill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0" xfId="0" applyFill="1"/>
    <xf numFmtId="0" fontId="0" fillId="6" borderId="2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14" fontId="0" fillId="8" borderId="1" xfId="0" applyNumberFormat="1" applyFill="1" applyBorder="1" applyAlignment="1">
      <alignment vertical="center" wrapText="1"/>
    </xf>
    <xf numFmtId="0" fontId="0" fillId="4" borderId="12" xfId="0" applyFill="1" applyBorder="1" applyAlignment="1">
      <alignment vertical="center" wrapText="1"/>
    </xf>
    <xf numFmtId="0" fontId="0" fillId="4" borderId="13" xfId="0" applyFill="1" applyBorder="1" applyAlignment="1">
      <alignment vertical="center" wrapText="1"/>
    </xf>
    <xf numFmtId="0" fontId="0" fillId="4" borderId="17" xfId="0" applyFill="1" applyBorder="1" applyAlignment="1">
      <alignment vertical="center" wrapText="1"/>
    </xf>
    <xf numFmtId="14" fontId="0" fillId="4" borderId="18" xfId="0" applyNumberFormat="1" applyFill="1" applyBorder="1" applyAlignment="1">
      <alignment vertical="center" wrapText="1"/>
    </xf>
    <xf numFmtId="0" fontId="0" fillId="4" borderId="18" xfId="0" applyFill="1" applyBorder="1" applyAlignment="1">
      <alignment vertical="center" wrapText="1"/>
    </xf>
    <xf numFmtId="0" fontId="0" fillId="4" borderId="19" xfId="0" applyFill="1" applyBorder="1" applyAlignment="1">
      <alignment vertical="center" wrapText="1"/>
    </xf>
    <xf numFmtId="0" fontId="1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2" fillId="10" borderId="14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2" fillId="10" borderId="16" xfId="0" applyFont="1" applyFill="1" applyBorder="1" applyAlignment="1">
      <alignment horizontal="center" vertical="center" wrapText="1"/>
    </xf>
    <xf numFmtId="0" fontId="0" fillId="10" borderId="12" xfId="0" applyFill="1" applyBorder="1" applyAlignment="1">
      <alignment vertical="center" wrapText="1"/>
    </xf>
    <xf numFmtId="14" fontId="0" fillId="10" borderId="1" xfId="0" applyNumberFormat="1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10" borderId="13" xfId="0" applyFill="1" applyBorder="1" applyAlignment="1">
      <alignment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7" borderId="1" xfId="0" applyFont="1" applyFill="1" applyBorder="1"/>
    <xf numFmtId="0" fontId="1" fillId="7" borderId="1" xfId="0" applyFont="1" applyFill="1" applyBorder="1" applyAlignment="1">
      <alignment horizontal="center"/>
    </xf>
    <xf numFmtId="0" fontId="1" fillId="12" borderId="1" xfId="0" applyFont="1" applyFill="1" applyBorder="1"/>
    <xf numFmtId="0" fontId="1" fillId="12" borderId="1" xfId="0" applyFont="1" applyFill="1" applyBorder="1" applyAlignment="1">
      <alignment horizontal="center"/>
    </xf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1" fillId="8" borderId="13" xfId="0" applyFont="1" applyFill="1" applyBorder="1" applyAlignment="1">
      <alignment horizontal="center" vertical="center" wrapText="1"/>
    </xf>
    <xf numFmtId="0" fontId="0" fillId="8" borderId="13" xfId="0" applyFill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0" fontId="1" fillId="14" borderId="1" xfId="0" applyFont="1" applyFill="1" applyBorder="1"/>
    <xf numFmtId="0" fontId="1" fillId="14" borderId="1" xfId="0" applyFont="1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16" borderId="1" xfId="0" applyFill="1" applyBorder="1"/>
    <xf numFmtId="0" fontId="0" fillId="16" borderId="1" xfId="0" applyFill="1" applyBorder="1" applyAlignment="1">
      <alignment horizontal="center"/>
    </xf>
    <xf numFmtId="0" fontId="1" fillId="17" borderId="1" xfId="0" applyFont="1" applyFill="1" applyBorder="1"/>
    <xf numFmtId="0" fontId="1" fillId="17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0" fillId="18" borderId="1" xfId="0" applyFill="1" applyBorder="1"/>
    <xf numFmtId="0" fontId="0" fillId="1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19" borderId="1" xfId="0" applyFill="1" applyBorder="1"/>
    <xf numFmtId="0" fontId="0" fillId="19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0" fillId="20" borderId="1" xfId="0" applyFill="1" applyBorder="1"/>
    <xf numFmtId="0" fontId="1" fillId="20" borderId="1" xfId="0" applyFon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20" xfId="0" applyFont="1" applyFill="1" applyBorder="1" applyAlignment="1">
      <alignment horizontal="center"/>
    </xf>
    <xf numFmtId="0" fontId="1" fillId="11" borderId="17" xfId="0" applyFont="1" applyFill="1" applyBorder="1" applyAlignment="1">
      <alignment horizontal="center"/>
    </xf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1" fillId="3" borderId="22" xfId="0" applyFont="1" applyFill="1" applyBorder="1"/>
    <xf numFmtId="0" fontId="1" fillId="11" borderId="11" xfId="0" applyFont="1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1" fillId="21" borderId="1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vertical="center" wrapText="1"/>
    </xf>
    <xf numFmtId="14" fontId="0" fillId="21" borderId="1" xfId="0" applyNumberFormat="1" applyFill="1" applyBorder="1" applyAlignment="1">
      <alignment vertical="center" wrapText="1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DA48B9-FBA4-442B-B3BC-CBF60A5FBC02}" name="Table1" displayName="Table1" ref="M30:U40" totalsRowShown="0" headerRowDxfId="16" dataDxfId="15" headerRowBorderDxfId="13" tableBorderDxfId="14" totalsRowBorderDxfId="12">
  <autoFilter ref="M30:U40" xr:uid="{B6DA48B9-FBA4-442B-B3BC-CBF60A5FBC02}">
    <filterColumn colId="3">
      <filters>
        <filter val="Amit"/>
      </filters>
    </filterColumn>
  </autoFilter>
  <tableColumns count="9">
    <tableColumn id="1" xr3:uid="{3528599D-9143-4E64-B6C3-EAACC4EB0298}" name="Order_ID" dataDxfId="11"/>
    <tableColumn id="2" xr3:uid="{DB518F0F-75F8-4804-B3D1-45E34D4BB184}" name="Date" dataDxfId="10"/>
    <tableColumn id="3" xr3:uid="{C9B19684-1C6E-404A-9172-7789090D9854}" name="Region" dataDxfId="9"/>
    <tableColumn id="4" xr3:uid="{E8CE747F-2328-40CD-AC40-17DD33F5F033}" name="Salesperson" dataDxfId="8"/>
    <tableColumn id="5" xr3:uid="{E3819E44-2984-4ED3-874D-DF6C593A2E20}" name="Product" dataDxfId="7"/>
    <tableColumn id="6" xr3:uid="{50D4F3D7-64B8-4FF0-867F-AA676A8B27BA}" name="Category" dataDxfId="6"/>
    <tableColumn id="7" xr3:uid="{6A900668-7DBC-4941-9911-325569BD0486}" name="Quantity" dataDxfId="5"/>
    <tableColumn id="8" xr3:uid="{8FA4F9E0-B76D-4386-8911-74BFC10B596F}" name="Unit_Price" dataDxfId="4"/>
    <tableColumn id="9" xr3:uid="{CEEE7BA5-142B-419E-AA90-62B7DF660B90}" name="Total_Sale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A156-9DF3-4D31-B43A-7CB967F68FAE}">
  <sheetPr filterMode="1"/>
  <dimension ref="A1:U57"/>
  <sheetViews>
    <sheetView tabSelected="1" zoomScale="93" zoomScaleNormal="70" workbookViewId="0">
      <selection activeCell="K44" sqref="K44"/>
    </sheetView>
  </sheetViews>
  <sheetFormatPr defaultRowHeight="14.4" x14ac:dyDescent="0.3"/>
  <cols>
    <col min="1" max="1" width="9" bestFit="1" customWidth="1"/>
    <col min="2" max="2" width="11" bestFit="1" customWidth="1"/>
    <col min="3" max="3" width="10.88671875" bestFit="1" customWidth="1"/>
    <col min="4" max="4" width="11.5546875" customWidth="1"/>
    <col min="5" max="5" width="7.6640625" bestFit="1" customWidth="1"/>
    <col min="6" max="6" width="10.44140625" customWidth="1"/>
    <col min="7" max="7" width="11.77734375" customWidth="1"/>
    <col min="8" max="8" width="11.44140625" customWidth="1"/>
    <col min="9" max="9" width="11.33203125" customWidth="1"/>
    <col min="10" max="10" width="11.77734375" customWidth="1"/>
    <col min="11" max="11" width="21.5546875" customWidth="1"/>
    <col min="13" max="13" width="10.21875" customWidth="1"/>
    <col min="14" max="14" width="11" customWidth="1"/>
    <col min="15" max="16" width="13.33203125" bestFit="1" customWidth="1"/>
    <col min="18" max="18" width="10.88671875" customWidth="1"/>
    <col min="19" max="19" width="10.88671875" bestFit="1" customWidth="1"/>
    <col min="20" max="20" width="10.109375" customWidth="1"/>
    <col min="21" max="21" width="10.5546875" customWidth="1"/>
    <col min="23" max="23" width="10.77734375" customWidth="1"/>
    <col min="24" max="24" width="10.88671875" bestFit="1" customWidth="1"/>
    <col min="26" max="26" width="13" customWidth="1"/>
    <col min="27" max="27" width="9.44140625" customWidth="1"/>
    <col min="28" max="28" width="10.44140625" customWidth="1"/>
    <col min="29" max="29" width="10.21875" customWidth="1"/>
    <col min="30" max="30" width="11.5546875" customWidth="1"/>
    <col min="31" max="31" width="12.33203125" customWidth="1"/>
  </cols>
  <sheetData>
    <row r="1" spans="1:21" ht="14.4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K1" s="14" t="s">
        <v>24</v>
      </c>
      <c r="M1" s="40"/>
      <c r="N1" s="41" t="s">
        <v>46</v>
      </c>
      <c r="O1" s="41"/>
      <c r="Q1" s="1" t="s">
        <v>26</v>
      </c>
      <c r="R1" s="2"/>
      <c r="S1" s="2"/>
      <c r="T1" s="2"/>
      <c r="U1" s="3"/>
    </row>
    <row r="2" spans="1:21" ht="14.4" customHeight="1" x14ac:dyDescent="0.3">
      <c r="A2" s="12">
        <v>1001</v>
      </c>
      <c r="B2" s="13">
        <v>45296</v>
      </c>
      <c r="C2" s="12" t="s">
        <v>9</v>
      </c>
      <c r="D2" s="12" t="s">
        <v>10</v>
      </c>
      <c r="E2" s="12" t="s">
        <v>11</v>
      </c>
      <c r="F2" s="12" t="s">
        <v>12</v>
      </c>
      <c r="G2" s="12">
        <v>2</v>
      </c>
      <c r="H2" s="12">
        <v>50000</v>
      </c>
      <c r="I2" s="12">
        <v>100000</v>
      </c>
      <c r="K2" s="15" t="s">
        <v>25</v>
      </c>
      <c r="M2" s="38"/>
      <c r="N2" s="39" t="s">
        <v>47</v>
      </c>
      <c r="O2" s="39"/>
      <c r="Q2" s="4" t="s">
        <v>27</v>
      </c>
      <c r="R2" s="5"/>
      <c r="S2" s="5"/>
      <c r="T2" s="5"/>
      <c r="U2" s="6"/>
    </row>
    <row r="3" spans="1:21" ht="14.4" customHeight="1" x14ac:dyDescent="0.3">
      <c r="A3" s="12">
        <v>1002</v>
      </c>
      <c r="B3" s="13">
        <v>45299</v>
      </c>
      <c r="C3" s="12" t="s">
        <v>13</v>
      </c>
      <c r="D3" s="12" t="s">
        <v>14</v>
      </c>
      <c r="E3" s="12" t="s">
        <v>15</v>
      </c>
      <c r="F3" s="12" t="s">
        <v>12</v>
      </c>
      <c r="G3" s="12">
        <v>5</v>
      </c>
      <c r="H3" s="12">
        <v>20000</v>
      </c>
      <c r="I3" s="12">
        <v>100000</v>
      </c>
      <c r="K3" s="16">
        <v>120000</v>
      </c>
      <c r="M3" s="38"/>
      <c r="N3" s="39">
        <f>SUM(I2:I11)</f>
        <v>577000</v>
      </c>
      <c r="O3" s="39"/>
      <c r="Q3" s="4" t="s">
        <v>28</v>
      </c>
      <c r="R3" s="5"/>
      <c r="S3" s="5"/>
      <c r="T3" s="5"/>
      <c r="U3" s="6"/>
    </row>
    <row r="4" spans="1:21" x14ac:dyDescent="0.3">
      <c r="A4" s="12">
        <v>1003</v>
      </c>
      <c r="B4" s="13">
        <v>45303</v>
      </c>
      <c r="C4" s="12" t="s">
        <v>16</v>
      </c>
      <c r="D4" s="12" t="s">
        <v>17</v>
      </c>
      <c r="E4" s="12" t="s">
        <v>18</v>
      </c>
      <c r="F4" s="12" t="s">
        <v>19</v>
      </c>
      <c r="G4" s="12">
        <v>10</v>
      </c>
      <c r="H4" s="12">
        <v>3000</v>
      </c>
      <c r="I4" s="12">
        <v>30000</v>
      </c>
      <c r="K4" s="16">
        <v>100000</v>
      </c>
      <c r="Q4" s="4" t="s">
        <v>29</v>
      </c>
      <c r="R4" s="5"/>
      <c r="S4" s="5"/>
      <c r="T4" s="5"/>
      <c r="U4" s="6"/>
    </row>
    <row r="5" spans="1:21" x14ac:dyDescent="0.3">
      <c r="A5" s="12">
        <v>1004</v>
      </c>
      <c r="B5" s="13">
        <v>45306</v>
      </c>
      <c r="C5" s="12" t="s">
        <v>20</v>
      </c>
      <c r="D5" s="12" t="s">
        <v>21</v>
      </c>
      <c r="E5" s="12" t="s">
        <v>22</v>
      </c>
      <c r="F5" s="12" t="s">
        <v>19</v>
      </c>
      <c r="G5" s="12">
        <v>3</v>
      </c>
      <c r="H5" s="12">
        <v>7000</v>
      </c>
      <c r="I5" s="12">
        <v>21000</v>
      </c>
      <c r="K5" s="17">
        <v>100000</v>
      </c>
      <c r="M5" s="42"/>
      <c r="N5" s="43" t="s">
        <v>48</v>
      </c>
      <c r="O5" s="43"/>
      <c r="Q5" s="4" t="s">
        <v>30</v>
      </c>
      <c r="R5" s="5"/>
      <c r="S5" s="5"/>
      <c r="T5" s="5"/>
      <c r="U5" s="6"/>
    </row>
    <row r="6" spans="1:21" ht="14.4" customHeight="1" x14ac:dyDescent="0.3">
      <c r="A6" s="12">
        <v>1005</v>
      </c>
      <c r="B6" s="13">
        <v>45309</v>
      </c>
      <c r="C6" s="12" t="s">
        <v>9</v>
      </c>
      <c r="D6" s="12" t="s">
        <v>10</v>
      </c>
      <c r="E6" s="12" t="s">
        <v>15</v>
      </c>
      <c r="F6" s="12" t="s">
        <v>12</v>
      </c>
      <c r="G6" s="12">
        <v>4</v>
      </c>
      <c r="H6" s="12">
        <v>20000</v>
      </c>
      <c r="I6" s="12">
        <v>80000</v>
      </c>
      <c r="K6" s="17">
        <v>80000</v>
      </c>
      <c r="M6" s="44"/>
      <c r="N6" s="45" t="s">
        <v>49</v>
      </c>
      <c r="O6" s="45"/>
      <c r="Q6" s="4" t="s">
        <v>31</v>
      </c>
      <c r="R6" s="5"/>
      <c r="S6" s="5"/>
      <c r="T6" s="5"/>
      <c r="U6" s="6"/>
    </row>
    <row r="7" spans="1:21" ht="14.4" customHeight="1" x14ac:dyDescent="0.3">
      <c r="A7" s="12">
        <v>1006</v>
      </c>
      <c r="B7" s="13">
        <v>45311</v>
      </c>
      <c r="C7" s="12" t="s">
        <v>13</v>
      </c>
      <c r="D7" s="12" t="s">
        <v>14</v>
      </c>
      <c r="E7" s="12" t="s">
        <v>11</v>
      </c>
      <c r="F7" s="12" t="s">
        <v>12</v>
      </c>
      <c r="G7" s="12">
        <v>1</v>
      </c>
      <c r="H7" s="12">
        <v>50000</v>
      </c>
      <c r="I7" s="12">
        <v>50000</v>
      </c>
      <c r="K7" s="17">
        <v>50000</v>
      </c>
      <c r="M7" s="44"/>
      <c r="N7" s="45">
        <f>SUM(G2:G11)</f>
        <v>45</v>
      </c>
      <c r="O7" s="45"/>
      <c r="Q7" s="4" t="s">
        <v>32</v>
      </c>
      <c r="R7" s="5"/>
      <c r="S7" s="5"/>
      <c r="T7" s="5"/>
      <c r="U7" s="6"/>
    </row>
    <row r="8" spans="1:21" x14ac:dyDescent="0.3">
      <c r="A8" s="12">
        <v>1007</v>
      </c>
      <c r="B8" s="13">
        <v>45316</v>
      </c>
      <c r="C8" s="12" t="s">
        <v>16</v>
      </c>
      <c r="D8" s="12" t="s">
        <v>17</v>
      </c>
      <c r="E8" s="12" t="s">
        <v>23</v>
      </c>
      <c r="F8" s="12" t="s">
        <v>19</v>
      </c>
      <c r="G8" s="12">
        <v>2</v>
      </c>
      <c r="H8" s="12">
        <v>10000</v>
      </c>
      <c r="I8" s="12">
        <v>20000</v>
      </c>
      <c r="K8" s="17">
        <v>35000</v>
      </c>
      <c r="Q8" s="4" t="s">
        <v>33</v>
      </c>
      <c r="R8" s="5"/>
      <c r="S8" s="5"/>
      <c r="T8" s="5"/>
      <c r="U8" s="6"/>
    </row>
    <row r="9" spans="1:21" ht="14.4" customHeight="1" x14ac:dyDescent="0.3">
      <c r="A9" s="12">
        <v>1008</v>
      </c>
      <c r="B9" s="13">
        <v>45319</v>
      </c>
      <c r="C9" s="12" t="s">
        <v>20</v>
      </c>
      <c r="D9" s="12" t="s">
        <v>21</v>
      </c>
      <c r="E9" s="12" t="s">
        <v>15</v>
      </c>
      <c r="F9" s="12" t="s">
        <v>12</v>
      </c>
      <c r="G9" s="12">
        <v>6</v>
      </c>
      <c r="H9" s="12">
        <v>20000</v>
      </c>
      <c r="I9" s="12">
        <v>120000</v>
      </c>
      <c r="K9" s="17">
        <v>30000</v>
      </c>
      <c r="M9" s="51"/>
      <c r="N9" s="52" t="s">
        <v>50</v>
      </c>
      <c r="O9" s="52"/>
      <c r="Q9" s="4" t="s">
        <v>34</v>
      </c>
      <c r="R9" s="5"/>
      <c r="S9" s="5"/>
      <c r="T9" s="5"/>
      <c r="U9" s="6"/>
    </row>
    <row r="10" spans="1:21" x14ac:dyDescent="0.3">
      <c r="A10" s="12">
        <v>1009</v>
      </c>
      <c r="B10" s="13">
        <v>45324</v>
      </c>
      <c r="C10" s="12" t="s">
        <v>9</v>
      </c>
      <c r="D10" s="12" t="s">
        <v>10</v>
      </c>
      <c r="E10" s="12" t="s">
        <v>22</v>
      </c>
      <c r="F10" s="12" t="s">
        <v>19</v>
      </c>
      <c r="G10" s="12">
        <v>5</v>
      </c>
      <c r="H10" s="12">
        <v>7000</v>
      </c>
      <c r="I10" s="12">
        <v>35000</v>
      </c>
      <c r="K10" s="17">
        <v>21000</v>
      </c>
      <c r="M10" s="49"/>
      <c r="N10" s="50" t="s">
        <v>51</v>
      </c>
      <c r="O10" s="50"/>
      <c r="Q10" s="4" t="s">
        <v>35</v>
      </c>
      <c r="R10" s="5"/>
      <c r="S10" s="5"/>
      <c r="T10" s="5"/>
      <c r="U10" s="6"/>
    </row>
    <row r="11" spans="1:21" x14ac:dyDescent="0.3">
      <c r="A11" s="12">
        <v>1010</v>
      </c>
      <c r="B11" s="13">
        <v>45327</v>
      </c>
      <c r="C11" s="12" t="s">
        <v>13</v>
      </c>
      <c r="D11" s="12" t="s">
        <v>14</v>
      </c>
      <c r="E11" s="12" t="s">
        <v>18</v>
      </c>
      <c r="F11" s="12" t="s">
        <v>19</v>
      </c>
      <c r="G11" s="12">
        <v>7</v>
      </c>
      <c r="H11" s="12">
        <v>3000</v>
      </c>
      <c r="I11" s="12">
        <v>21000</v>
      </c>
      <c r="K11" s="17">
        <v>21000</v>
      </c>
      <c r="M11" s="49"/>
      <c r="N11" s="50">
        <f>AVERAGE(I2:I11)</f>
        <v>57700</v>
      </c>
      <c r="O11" s="50"/>
      <c r="Q11" s="4" t="s">
        <v>36</v>
      </c>
      <c r="R11" s="5"/>
      <c r="S11" s="5"/>
      <c r="T11" s="5"/>
      <c r="U11" s="6"/>
    </row>
    <row r="12" spans="1:21" x14ac:dyDescent="0.3">
      <c r="K12" s="17">
        <v>20000</v>
      </c>
      <c r="Q12" s="4" t="s">
        <v>37</v>
      </c>
      <c r="R12" s="5"/>
      <c r="S12" s="5"/>
      <c r="T12" s="5"/>
      <c r="U12" s="6"/>
    </row>
    <row r="13" spans="1:21" x14ac:dyDescent="0.3">
      <c r="A13" s="44"/>
      <c r="B13" s="57" t="s">
        <v>52</v>
      </c>
      <c r="C13" s="45"/>
      <c r="D13" s="48"/>
      <c r="E13" s="66"/>
      <c r="F13" s="67" t="s">
        <v>60</v>
      </c>
      <c r="G13" s="66"/>
      <c r="Q13" s="4" t="s">
        <v>38</v>
      </c>
      <c r="R13" s="5"/>
      <c r="S13" s="5"/>
      <c r="T13" s="5"/>
      <c r="U13" s="6"/>
    </row>
    <row r="14" spans="1:21" x14ac:dyDescent="0.3">
      <c r="A14" s="53"/>
      <c r="B14" s="54" t="s">
        <v>53</v>
      </c>
      <c r="C14" s="54"/>
      <c r="D14" s="48"/>
      <c r="E14" s="68"/>
      <c r="F14" s="69" t="s">
        <v>61</v>
      </c>
      <c r="G14" s="69"/>
      <c r="H14" s="19" t="s">
        <v>44</v>
      </c>
      <c r="I14" s="19"/>
      <c r="J14" s="19"/>
      <c r="K14" s="19"/>
      <c r="L14" s="19"/>
      <c r="M14" s="19"/>
      <c r="N14" s="19"/>
      <c r="O14" s="19"/>
      <c r="P14" s="19"/>
      <c r="Q14" s="4" t="s">
        <v>39</v>
      </c>
      <c r="R14" s="5"/>
      <c r="S14" s="5"/>
      <c r="T14" s="5"/>
      <c r="U14" s="6"/>
    </row>
    <row r="15" spans="1:21" ht="15" customHeight="1" x14ac:dyDescent="0.3">
      <c r="A15" s="53"/>
      <c r="B15" s="54">
        <f>AVERAGE(G2:G11)</f>
        <v>4.5</v>
      </c>
      <c r="C15" s="54"/>
      <c r="D15" s="48"/>
      <c r="E15" s="68"/>
      <c r="F15" s="69">
        <f>SUMIF(D2:D11,"Amit",I2:I11)</f>
        <v>215000</v>
      </c>
      <c r="G15" s="69"/>
      <c r="H15" s="20" t="s">
        <v>0</v>
      </c>
      <c r="I15" s="20" t="s">
        <v>1</v>
      </c>
      <c r="J15" s="20" t="s">
        <v>2</v>
      </c>
      <c r="K15" s="20" t="s">
        <v>3</v>
      </c>
      <c r="L15" s="20" t="s">
        <v>4</v>
      </c>
      <c r="M15" s="20" t="s">
        <v>5</v>
      </c>
      <c r="N15" s="20" t="s">
        <v>6</v>
      </c>
      <c r="O15" s="20" t="s">
        <v>7</v>
      </c>
      <c r="P15" s="46" t="s">
        <v>8</v>
      </c>
      <c r="Q15" s="4" t="s">
        <v>40</v>
      </c>
      <c r="R15" s="5"/>
      <c r="S15" s="5"/>
      <c r="T15" s="5"/>
      <c r="U15" s="6"/>
    </row>
    <row r="16" spans="1:21" ht="14.4" customHeight="1" x14ac:dyDescent="0.3">
      <c r="H16" s="21">
        <v>1001</v>
      </c>
      <c r="I16" s="22">
        <v>45296</v>
      </c>
      <c r="J16" s="21" t="s">
        <v>9</v>
      </c>
      <c r="K16" s="21" t="s">
        <v>10</v>
      </c>
      <c r="L16" s="21" t="s">
        <v>11</v>
      </c>
      <c r="M16" s="21" t="s">
        <v>12</v>
      </c>
      <c r="N16" s="21">
        <v>2</v>
      </c>
      <c r="O16" s="21">
        <v>50000</v>
      </c>
      <c r="P16" s="47">
        <v>100000</v>
      </c>
      <c r="Q16" s="4" t="s">
        <v>41</v>
      </c>
      <c r="R16" s="5"/>
      <c r="S16" s="5"/>
      <c r="T16" s="5"/>
      <c r="U16" s="6"/>
    </row>
    <row r="17" spans="1:21" ht="13.8" customHeight="1" thickBot="1" x14ac:dyDescent="0.35">
      <c r="A17" s="55"/>
      <c r="B17" s="56" t="s">
        <v>54</v>
      </c>
      <c r="C17" s="56"/>
      <c r="H17" s="21">
        <v>1002</v>
      </c>
      <c r="I17" s="22">
        <v>45299</v>
      </c>
      <c r="J17" s="21" t="s">
        <v>13</v>
      </c>
      <c r="K17" s="21" t="s">
        <v>14</v>
      </c>
      <c r="L17" s="21" t="s">
        <v>15</v>
      </c>
      <c r="M17" s="21" t="s">
        <v>12</v>
      </c>
      <c r="N17" s="21">
        <v>5</v>
      </c>
      <c r="O17" s="21">
        <v>20000</v>
      </c>
      <c r="P17" s="47">
        <v>100000</v>
      </c>
      <c r="Q17" s="7"/>
      <c r="R17" s="8" t="s">
        <v>42</v>
      </c>
      <c r="S17" s="9"/>
      <c r="T17" s="9"/>
      <c r="U17" s="10"/>
    </row>
    <row r="18" spans="1:21" ht="15" hidden="1" thickBot="1" x14ac:dyDescent="0.35">
      <c r="H18" s="12">
        <v>1003</v>
      </c>
      <c r="I18" s="13">
        <v>45303</v>
      </c>
      <c r="J18" s="12" t="s">
        <v>16</v>
      </c>
      <c r="K18" s="12" t="s">
        <v>17</v>
      </c>
      <c r="L18" s="12" t="s">
        <v>18</v>
      </c>
      <c r="M18" s="12" t="s">
        <v>19</v>
      </c>
      <c r="N18" s="12">
        <v>10</v>
      </c>
      <c r="O18" s="12">
        <v>3000</v>
      </c>
      <c r="P18" s="12">
        <v>30000</v>
      </c>
      <c r="Q18" s="7"/>
      <c r="R18" s="8" t="s">
        <v>43</v>
      </c>
      <c r="S18" s="9"/>
      <c r="T18" s="9"/>
      <c r="U18" s="10"/>
    </row>
    <row r="19" spans="1:21" hidden="1" x14ac:dyDescent="0.3">
      <c r="H19" s="12">
        <v>1004</v>
      </c>
      <c r="I19" s="13">
        <v>45306</v>
      </c>
      <c r="J19" s="12" t="s">
        <v>20</v>
      </c>
      <c r="K19" s="12" t="s">
        <v>21</v>
      </c>
      <c r="L19" s="12" t="s">
        <v>22</v>
      </c>
      <c r="M19" s="12" t="s">
        <v>19</v>
      </c>
      <c r="N19" s="12">
        <v>3</v>
      </c>
      <c r="O19" s="12">
        <v>7000</v>
      </c>
      <c r="P19" s="12">
        <v>21000</v>
      </c>
    </row>
    <row r="20" spans="1:21" ht="15" customHeight="1" thickBot="1" x14ac:dyDescent="0.35">
      <c r="A20" s="44"/>
      <c r="B20" s="45" t="s">
        <v>55</v>
      </c>
      <c r="C20" s="45"/>
      <c r="H20" s="21">
        <v>1005</v>
      </c>
      <c r="I20" s="22">
        <v>45309</v>
      </c>
      <c r="J20" s="21" t="s">
        <v>9</v>
      </c>
      <c r="K20" s="21" t="s">
        <v>10</v>
      </c>
      <c r="L20" s="21" t="s">
        <v>15</v>
      </c>
      <c r="M20" s="21" t="s">
        <v>12</v>
      </c>
      <c r="N20" s="21">
        <v>4</v>
      </c>
      <c r="O20" s="21">
        <v>20000</v>
      </c>
      <c r="P20" s="47">
        <v>80000</v>
      </c>
      <c r="Q20" s="81"/>
      <c r="R20" s="82"/>
      <c r="S20" s="84" t="s">
        <v>43</v>
      </c>
      <c r="T20" s="82"/>
      <c r="U20" s="83"/>
    </row>
    <row r="21" spans="1:21" ht="14.4" customHeight="1" x14ac:dyDescent="0.3">
      <c r="A21" s="44"/>
      <c r="B21" s="45">
        <f>COUNT(A2:A11)</f>
        <v>10</v>
      </c>
      <c r="C21" s="45"/>
      <c r="H21" s="21">
        <v>1006</v>
      </c>
      <c r="I21" s="22">
        <v>45311</v>
      </c>
      <c r="J21" s="21" t="s">
        <v>13</v>
      </c>
      <c r="K21" s="21" t="s">
        <v>14</v>
      </c>
      <c r="L21" s="21" t="s">
        <v>11</v>
      </c>
      <c r="M21" s="21" t="s">
        <v>12</v>
      </c>
      <c r="N21" s="21">
        <v>1</v>
      </c>
      <c r="O21" s="21">
        <v>50000</v>
      </c>
      <c r="P21" s="21">
        <v>50000</v>
      </c>
    </row>
    <row r="22" spans="1:21" ht="14.4" hidden="1" customHeight="1" x14ac:dyDescent="0.3">
      <c r="H22" s="21">
        <v>1007</v>
      </c>
      <c r="I22" s="22">
        <v>45316</v>
      </c>
      <c r="J22" s="21" t="s">
        <v>16</v>
      </c>
      <c r="K22" s="21" t="s">
        <v>17</v>
      </c>
      <c r="L22" s="21" t="s">
        <v>23</v>
      </c>
      <c r="M22" s="21" t="s">
        <v>19</v>
      </c>
      <c r="N22" s="21">
        <v>2</v>
      </c>
      <c r="O22" s="21">
        <v>10000</v>
      </c>
      <c r="P22" s="21">
        <v>20000</v>
      </c>
    </row>
    <row r="23" spans="1:21" ht="14.4" customHeight="1" x14ac:dyDescent="0.3">
      <c r="H23" s="21">
        <v>1008</v>
      </c>
      <c r="I23" s="22">
        <v>45319</v>
      </c>
      <c r="J23" s="21" t="s">
        <v>20</v>
      </c>
      <c r="K23" s="21" t="s">
        <v>21</v>
      </c>
      <c r="L23" s="21" t="s">
        <v>15</v>
      </c>
      <c r="M23" s="21" t="s">
        <v>12</v>
      </c>
      <c r="N23" s="21">
        <v>6</v>
      </c>
      <c r="O23" s="21">
        <v>20000</v>
      </c>
      <c r="P23" s="21">
        <v>120000</v>
      </c>
    </row>
    <row r="24" spans="1:21" hidden="1" x14ac:dyDescent="0.3">
      <c r="H24" s="12">
        <v>1009</v>
      </c>
      <c r="I24" s="13">
        <v>45324</v>
      </c>
      <c r="J24" s="12" t="s">
        <v>9</v>
      </c>
      <c r="K24" s="12" t="s">
        <v>10</v>
      </c>
      <c r="L24" s="12" t="s">
        <v>22</v>
      </c>
      <c r="M24" s="12" t="s">
        <v>19</v>
      </c>
      <c r="N24" s="12">
        <v>5</v>
      </c>
      <c r="O24" s="12">
        <v>7000</v>
      </c>
      <c r="P24" s="12">
        <v>35000</v>
      </c>
    </row>
    <row r="25" spans="1:21" hidden="1" x14ac:dyDescent="0.3">
      <c r="H25" s="12">
        <v>1010</v>
      </c>
      <c r="I25" s="13">
        <v>45327</v>
      </c>
      <c r="J25" s="12" t="s">
        <v>13</v>
      </c>
      <c r="K25" s="12" t="s">
        <v>14</v>
      </c>
      <c r="L25" s="12" t="s">
        <v>18</v>
      </c>
      <c r="M25" s="12" t="s">
        <v>19</v>
      </c>
      <c r="N25" s="12">
        <v>7</v>
      </c>
      <c r="O25" s="12">
        <v>3000</v>
      </c>
      <c r="P25" s="12">
        <v>21000</v>
      </c>
    </row>
    <row r="26" spans="1:21" x14ac:dyDescent="0.3">
      <c r="A26" s="60"/>
      <c r="B26" s="61" t="s">
        <v>56</v>
      </c>
      <c r="C26" s="61"/>
      <c r="D26" s="70"/>
      <c r="E26" s="71" t="s">
        <v>62</v>
      </c>
      <c r="F26" s="70"/>
      <c r="G26" s="70"/>
      <c r="H26" s="18"/>
    </row>
    <row r="27" spans="1:21" x14ac:dyDescent="0.3">
      <c r="A27" s="58"/>
      <c r="B27" s="59" t="s">
        <v>57</v>
      </c>
      <c r="C27" s="59"/>
      <c r="D27" s="39"/>
      <c r="E27" s="39" t="s">
        <v>63</v>
      </c>
      <c r="F27" s="39"/>
      <c r="G27" s="39"/>
      <c r="H27" s="18"/>
    </row>
    <row r="28" spans="1:21" x14ac:dyDescent="0.3">
      <c r="A28" s="58"/>
      <c r="B28" s="59">
        <f>COUNTIF(F2:F11,"Furniture")</f>
        <v>5</v>
      </c>
      <c r="C28" s="59"/>
      <c r="D28" s="38"/>
      <c r="E28" s="39">
        <f>SUMIFS(I2:I11,F2:F11,"Electronics",C2:C11,"East")</f>
        <v>180000</v>
      </c>
      <c r="F28" s="39"/>
      <c r="G28" s="39"/>
      <c r="H28" s="18"/>
    </row>
    <row r="29" spans="1:21" ht="15" customHeight="1" x14ac:dyDescent="0.3">
      <c r="H29" s="18"/>
      <c r="M29" s="29" t="s">
        <v>45</v>
      </c>
      <c r="N29" s="30"/>
      <c r="O29" s="30"/>
      <c r="P29" s="30"/>
      <c r="Q29" s="30"/>
      <c r="R29" s="30"/>
      <c r="S29" s="30"/>
      <c r="T29" s="30"/>
      <c r="U29" s="30"/>
    </row>
    <row r="30" spans="1:21" ht="14.4" customHeight="1" x14ac:dyDescent="0.3">
      <c r="A30" s="62"/>
      <c r="B30" s="63" t="s">
        <v>58</v>
      </c>
      <c r="C30" s="63"/>
      <c r="D30" s="18"/>
      <c r="H30" s="18"/>
      <c r="M30" s="31" t="s">
        <v>0</v>
      </c>
      <c r="N30" s="32" t="s">
        <v>1</v>
      </c>
      <c r="O30" s="32" t="s">
        <v>2</v>
      </c>
      <c r="P30" s="32" t="s">
        <v>3</v>
      </c>
      <c r="Q30" s="32" t="s">
        <v>4</v>
      </c>
      <c r="R30" s="32" t="s">
        <v>5</v>
      </c>
      <c r="S30" s="32" t="s">
        <v>6</v>
      </c>
      <c r="T30" s="32" t="s">
        <v>7</v>
      </c>
      <c r="U30" s="33" t="s">
        <v>8</v>
      </c>
    </row>
    <row r="31" spans="1:21" ht="14.4" customHeight="1" x14ac:dyDescent="0.3">
      <c r="A31" s="64"/>
      <c r="B31" s="65" t="s">
        <v>59</v>
      </c>
      <c r="C31" s="65"/>
      <c r="D31" s="18"/>
      <c r="M31" s="34">
        <v>1001</v>
      </c>
      <c r="N31" s="35">
        <v>45296</v>
      </c>
      <c r="O31" s="36" t="s">
        <v>9</v>
      </c>
      <c r="P31" s="36" t="s">
        <v>10</v>
      </c>
      <c r="Q31" s="36" t="s">
        <v>11</v>
      </c>
      <c r="R31" s="36" t="s">
        <v>12</v>
      </c>
      <c r="S31" s="36">
        <v>2</v>
      </c>
      <c r="T31" s="36">
        <v>50000</v>
      </c>
      <c r="U31" s="37">
        <v>100000</v>
      </c>
    </row>
    <row r="32" spans="1:21" ht="28.8" hidden="1" x14ac:dyDescent="0.3">
      <c r="M32" s="23">
        <v>1002</v>
      </c>
      <c r="N32" s="13">
        <v>45299</v>
      </c>
      <c r="O32" s="12" t="s">
        <v>13</v>
      </c>
      <c r="P32" s="12" t="s">
        <v>14</v>
      </c>
      <c r="Q32" s="12" t="s">
        <v>15</v>
      </c>
      <c r="R32" s="12" t="s">
        <v>12</v>
      </c>
      <c r="S32" s="12">
        <v>5</v>
      </c>
      <c r="T32" s="12">
        <v>20000</v>
      </c>
      <c r="U32" s="24">
        <v>100000</v>
      </c>
    </row>
    <row r="33" spans="1:21" hidden="1" x14ac:dyDescent="0.3">
      <c r="M33" s="23">
        <v>1003</v>
      </c>
      <c r="N33" s="13">
        <v>45303</v>
      </c>
      <c r="O33" s="12" t="s">
        <v>16</v>
      </c>
      <c r="P33" s="12" t="s">
        <v>17</v>
      </c>
      <c r="Q33" s="12" t="s">
        <v>18</v>
      </c>
      <c r="R33" s="12" t="s">
        <v>19</v>
      </c>
      <c r="S33" s="12">
        <v>10</v>
      </c>
      <c r="T33" s="12">
        <v>3000</v>
      </c>
      <c r="U33" s="24">
        <v>30000</v>
      </c>
    </row>
    <row r="34" spans="1:21" ht="14.4" customHeight="1" x14ac:dyDescent="0.3">
      <c r="A34" s="64"/>
      <c r="B34" s="65">
        <f>SUMIF(F2:F11,"Electronics",I2:I11)</f>
        <v>450000</v>
      </c>
      <c r="C34" s="65"/>
      <c r="D34" s="18"/>
      <c r="M34" s="34">
        <v>1004</v>
      </c>
      <c r="N34" s="35">
        <v>45306</v>
      </c>
      <c r="O34" s="36" t="s">
        <v>20</v>
      </c>
      <c r="P34" s="36" t="s">
        <v>21</v>
      </c>
      <c r="Q34" s="36" t="s">
        <v>22</v>
      </c>
      <c r="R34" s="36" t="s">
        <v>19</v>
      </c>
      <c r="S34" s="36">
        <v>3</v>
      </c>
      <c r="T34" s="36">
        <v>7000</v>
      </c>
      <c r="U34" s="37">
        <v>21000</v>
      </c>
    </row>
    <row r="35" spans="1:21" ht="13.8" customHeight="1" x14ac:dyDescent="0.3">
      <c r="M35" s="34">
        <v>1005</v>
      </c>
      <c r="N35" s="35">
        <v>45309</v>
      </c>
      <c r="O35" s="36" t="s">
        <v>9</v>
      </c>
      <c r="P35" s="36" t="s">
        <v>10</v>
      </c>
      <c r="Q35" s="36" t="s">
        <v>15</v>
      </c>
      <c r="R35" s="36" t="s">
        <v>12</v>
      </c>
      <c r="S35" s="36">
        <v>4</v>
      </c>
      <c r="T35" s="36">
        <v>20000</v>
      </c>
      <c r="U35" s="37">
        <v>80000</v>
      </c>
    </row>
    <row r="36" spans="1:21" ht="28.8" hidden="1" x14ac:dyDescent="0.3">
      <c r="M36" s="23">
        <v>1006</v>
      </c>
      <c r="N36" s="13">
        <v>45311</v>
      </c>
      <c r="O36" s="12" t="s">
        <v>13</v>
      </c>
      <c r="P36" s="12" t="s">
        <v>14</v>
      </c>
      <c r="Q36" s="12" t="s">
        <v>11</v>
      </c>
      <c r="R36" s="12" t="s">
        <v>12</v>
      </c>
      <c r="S36" s="12">
        <v>1</v>
      </c>
      <c r="T36" s="12">
        <v>50000</v>
      </c>
      <c r="U36" s="24">
        <v>50000</v>
      </c>
    </row>
    <row r="37" spans="1:21" hidden="1" x14ac:dyDescent="0.3">
      <c r="M37" s="23">
        <v>1007</v>
      </c>
      <c r="N37" s="13">
        <v>45316</v>
      </c>
      <c r="O37" s="12" t="s">
        <v>16</v>
      </c>
      <c r="P37" s="12" t="s">
        <v>17</v>
      </c>
      <c r="Q37" s="12" t="s">
        <v>23</v>
      </c>
      <c r="R37" s="12" t="s">
        <v>19</v>
      </c>
      <c r="S37" s="12">
        <v>2</v>
      </c>
      <c r="T37" s="12">
        <v>10000</v>
      </c>
      <c r="U37" s="24">
        <v>20000</v>
      </c>
    </row>
    <row r="38" spans="1:21" ht="28.8" hidden="1" x14ac:dyDescent="0.3">
      <c r="M38" s="23">
        <v>1008</v>
      </c>
      <c r="N38" s="13">
        <v>45319</v>
      </c>
      <c r="O38" s="12" t="s">
        <v>20</v>
      </c>
      <c r="P38" s="12" t="s">
        <v>21</v>
      </c>
      <c r="Q38" s="12" t="s">
        <v>15</v>
      </c>
      <c r="R38" s="12" t="s">
        <v>12</v>
      </c>
      <c r="S38" s="12">
        <v>6</v>
      </c>
      <c r="T38" s="12">
        <v>20000</v>
      </c>
      <c r="U38" s="24">
        <v>120000</v>
      </c>
    </row>
    <row r="39" spans="1:21" x14ac:dyDescent="0.3">
      <c r="M39" s="34">
        <v>1009</v>
      </c>
      <c r="N39" s="35">
        <v>45324</v>
      </c>
      <c r="O39" s="36" t="s">
        <v>9</v>
      </c>
      <c r="P39" s="36" t="s">
        <v>10</v>
      </c>
      <c r="Q39" s="36" t="s">
        <v>22</v>
      </c>
      <c r="R39" s="36" t="s">
        <v>19</v>
      </c>
      <c r="S39" s="36">
        <v>5</v>
      </c>
      <c r="T39" s="36">
        <v>7000</v>
      </c>
      <c r="U39" s="37">
        <v>35000</v>
      </c>
    </row>
    <row r="40" spans="1:21" hidden="1" x14ac:dyDescent="0.3">
      <c r="M40" s="25">
        <v>1010</v>
      </c>
      <c r="N40" s="26">
        <v>45327</v>
      </c>
      <c r="O40" s="27" t="s">
        <v>13</v>
      </c>
      <c r="P40" s="27" t="s">
        <v>14</v>
      </c>
      <c r="Q40" s="27" t="s">
        <v>18</v>
      </c>
      <c r="R40" s="27" t="s">
        <v>19</v>
      </c>
      <c r="S40" s="27">
        <v>7</v>
      </c>
      <c r="T40" s="27">
        <v>3000</v>
      </c>
      <c r="U40" s="28">
        <v>21000</v>
      </c>
    </row>
    <row r="41" spans="1:21" x14ac:dyDescent="0.3">
      <c r="A41" s="72"/>
      <c r="B41" s="73" t="s">
        <v>64</v>
      </c>
      <c r="C41" s="74"/>
      <c r="D41" s="18"/>
      <c r="F41" s="79" t="s">
        <v>69</v>
      </c>
      <c r="G41" s="79"/>
      <c r="H41" s="80"/>
    </row>
    <row r="42" spans="1:21" x14ac:dyDescent="0.3">
      <c r="A42" s="44"/>
      <c r="B42" s="45" t="s">
        <v>65</v>
      </c>
      <c r="C42" s="45"/>
      <c r="D42" s="18"/>
      <c r="F42" s="75" t="s">
        <v>66</v>
      </c>
      <c r="G42" s="75"/>
      <c r="H42" s="76" t="s">
        <v>67</v>
      </c>
    </row>
    <row r="43" spans="1:21" x14ac:dyDescent="0.3">
      <c r="A43" s="44"/>
      <c r="B43" s="45">
        <f>SUMIFS(I2:I11,D2:D11,"Priya",C2:C11,"West")</f>
        <v>171000</v>
      </c>
      <c r="C43" s="45"/>
      <c r="D43" s="18"/>
      <c r="F43" s="77" t="s">
        <v>5</v>
      </c>
      <c r="G43" s="77" t="s">
        <v>6</v>
      </c>
      <c r="H43" s="76"/>
      <c r="M43" s="19" t="s">
        <v>71</v>
      </c>
      <c r="N43" s="19"/>
      <c r="O43" s="19"/>
      <c r="P43" s="19"/>
      <c r="Q43" s="19"/>
      <c r="R43" s="19"/>
      <c r="S43" s="19"/>
      <c r="T43" s="19"/>
      <c r="U43" s="19"/>
    </row>
    <row r="44" spans="1:21" ht="14.4" customHeight="1" x14ac:dyDescent="0.3">
      <c r="F44" s="78" t="s">
        <v>12</v>
      </c>
      <c r="G44" s="78" t="s">
        <v>68</v>
      </c>
      <c r="H44" s="66">
        <f>COUNTIFS(F2:F11,"Electronics",G2:G11,"&gt;3")</f>
        <v>3</v>
      </c>
      <c r="M44" s="11" t="s">
        <v>0</v>
      </c>
      <c r="N44" s="11" t="s">
        <v>1</v>
      </c>
      <c r="O44" s="11" t="s">
        <v>2</v>
      </c>
      <c r="P44" s="11" t="s">
        <v>3</v>
      </c>
      <c r="Q44" s="11" t="s">
        <v>4</v>
      </c>
      <c r="R44" s="11" t="s">
        <v>5</v>
      </c>
      <c r="S44" s="11" t="s">
        <v>6</v>
      </c>
      <c r="T44" s="11" t="s">
        <v>7</v>
      </c>
      <c r="U44" s="11" t="s">
        <v>8</v>
      </c>
    </row>
    <row r="45" spans="1:21" ht="13.8" customHeight="1" x14ac:dyDescent="0.3">
      <c r="M45" s="12">
        <v>1001</v>
      </c>
      <c r="N45" s="13">
        <v>45296</v>
      </c>
      <c r="O45" s="12" t="s">
        <v>9</v>
      </c>
      <c r="P45" s="12" t="s">
        <v>10</v>
      </c>
      <c r="Q45" s="12" t="s">
        <v>11</v>
      </c>
      <c r="R45" s="12" t="s">
        <v>12</v>
      </c>
      <c r="S45" s="12">
        <v>2</v>
      </c>
      <c r="T45" s="12">
        <v>50000</v>
      </c>
      <c r="U45" s="12">
        <v>100000</v>
      </c>
    </row>
    <row r="46" spans="1:21" ht="14.4" customHeight="1" x14ac:dyDescent="0.3">
      <c r="B46" s="85" t="s">
        <v>70</v>
      </c>
      <c r="C46" s="86"/>
      <c r="D46" s="86"/>
      <c r="E46" s="86"/>
      <c r="F46" s="86"/>
      <c r="G46" s="86"/>
      <c r="H46" s="86"/>
      <c r="I46" s="86"/>
      <c r="J46" s="86"/>
      <c r="M46" s="12">
        <v>1002</v>
      </c>
      <c r="N46" s="13">
        <v>45299</v>
      </c>
      <c r="O46" s="12" t="s">
        <v>13</v>
      </c>
      <c r="P46" s="12" t="s">
        <v>14</v>
      </c>
      <c r="Q46" s="12" t="s">
        <v>15</v>
      </c>
      <c r="R46" s="12" t="s">
        <v>12</v>
      </c>
      <c r="S46" s="12">
        <v>5</v>
      </c>
      <c r="T46" s="12">
        <v>20000</v>
      </c>
      <c r="U46" s="12">
        <v>100000</v>
      </c>
    </row>
    <row r="47" spans="1:21" ht="13.8" customHeight="1" x14ac:dyDescent="0.3">
      <c r="B47" s="87" t="s">
        <v>0</v>
      </c>
      <c r="C47" s="87" t="s">
        <v>1</v>
      </c>
      <c r="D47" s="87" t="s">
        <v>2</v>
      </c>
      <c r="E47" s="87" t="s">
        <v>3</v>
      </c>
      <c r="F47" s="87" t="s">
        <v>4</v>
      </c>
      <c r="G47" s="87" t="s">
        <v>5</v>
      </c>
      <c r="H47" s="87" t="s">
        <v>6</v>
      </c>
      <c r="I47" s="87" t="s">
        <v>7</v>
      </c>
      <c r="J47" s="87" t="s">
        <v>8</v>
      </c>
      <c r="M47" s="12">
        <v>1003</v>
      </c>
      <c r="N47" s="13">
        <v>45303</v>
      </c>
      <c r="O47" s="12" t="s">
        <v>16</v>
      </c>
      <c r="P47" s="12" t="s">
        <v>17</v>
      </c>
      <c r="Q47" s="12" t="s">
        <v>18</v>
      </c>
      <c r="R47" s="12" t="s">
        <v>19</v>
      </c>
      <c r="S47" s="12">
        <v>10</v>
      </c>
      <c r="T47" s="12">
        <v>3000</v>
      </c>
      <c r="U47" s="12">
        <v>30000</v>
      </c>
    </row>
    <row r="48" spans="1:21" ht="13.8" customHeight="1" x14ac:dyDescent="0.3">
      <c r="B48" s="88">
        <v>1001</v>
      </c>
      <c r="C48" s="89">
        <v>45296</v>
      </c>
      <c r="D48" s="88" t="s">
        <v>9</v>
      </c>
      <c r="E48" s="88" t="s">
        <v>10</v>
      </c>
      <c r="F48" s="88" t="s">
        <v>11</v>
      </c>
      <c r="G48" s="88" t="s">
        <v>12</v>
      </c>
      <c r="H48" s="88">
        <v>2</v>
      </c>
      <c r="I48" s="88">
        <v>50000</v>
      </c>
      <c r="J48" s="88">
        <v>100000</v>
      </c>
      <c r="M48" s="12">
        <v>1004</v>
      </c>
      <c r="N48" s="13">
        <v>45306</v>
      </c>
      <c r="O48" s="12" t="s">
        <v>20</v>
      </c>
      <c r="P48" s="12" t="s">
        <v>21</v>
      </c>
      <c r="Q48" s="12" t="s">
        <v>22</v>
      </c>
      <c r="R48" s="12" t="s">
        <v>19</v>
      </c>
      <c r="S48" s="12">
        <v>3</v>
      </c>
      <c r="T48" s="12">
        <v>7000</v>
      </c>
      <c r="U48" s="12">
        <v>21000</v>
      </c>
    </row>
    <row r="49" spans="2:21" ht="13.8" customHeight="1" x14ac:dyDescent="0.3">
      <c r="B49" s="88">
        <v>1002</v>
      </c>
      <c r="C49" s="89">
        <v>45299</v>
      </c>
      <c r="D49" s="88" t="s">
        <v>13</v>
      </c>
      <c r="E49" s="88" t="s">
        <v>14</v>
      </c>
      <c r="F49" s="88" t="s">
        <v>15</v>
      </c>
      <c r="G49" s="88" t="s">
        <v>12</v>
      </c>
      <c r="H49" s="88">
        <v>5</v>
      </c>
      <c r="I49" s="88">
        <v>20000</v>
      </c>
      <c r="J49" s="88">
        <v>100000</v>
      </c>
      <c r="M49" s="12">
        <v>1005</v>
      </c>
      <c r="N49" s="13">
        <v>45309</v>
      </c>
      <c r="O49" s="12" t="s">
        <v>9</v>
      </c>
      <c r="P49" s="12" t="s">
        <v>10</v>
      </c>
      <c r="Q49" s="12" t="s">
        <v>15</v>
      </c>
      <c r="R49" s="12" t="s">
        <v>12</v>
      </c>
      <c r="S49" s="12">
        <v>4</v>
      </c>
      <c r="T49" s="12">
        <v>20000</v>
      </c>
      <c r="U49" s="12">
        <v>80000</v>
      </c>
    </row>
    <row r="50" spans="2:21" ht="13.8" customHeight="1" x14ac:dyDescent="0.3">
      <c r="B50" s="88">
        <v>1003</v>
      </c>
      <c r="C50" s="89">
        <v>45303</v>
      </c>
      <c r="D50" s="88" t="s">
        <v>16</v>
      </c>
      <c r="E50" s="88" t="s">
        <v>17</v>
      </c>
      <c r="F50" s="88" t="s">
        <v>18</v>
      </c>
      <c r="G50" s="88" t="s">
        <v>19</v>
      </c>
      <c r="H50" s="88">
        <v>10</v>
      </c>
      <c r="I50" s="88">
        <v>3000</v>
      </c>
      <c r="J50" s="88">
        <v>30000</v>
      </c>
      <c r="M50" s="12">
        <v>1006</v>
      </c>
      <c r="N50" s="13">
        <v>45311</v>
      </c>
      <c r="O50" s="12" t="s">
        <v>13</v>
      </c>
      <c r="P50" s="12" t="s">
        <v>14</v>
      </c>
      <c r="Q50" s="12" t="s">
        <v>11</v>
      </c>
      <c r="R50" s="12" t="s">
        <v>12</v>
      </c>
      <c r="S50" s="12">
        <v>1</v>
      </c>
      <c r="T50" s="12">
        <v>50000</v>
      </c>
      <c r="U50" s="12">
        <v>50000</v>
      </c>
    </row>
    <row r="51" spans="2:21" x14ac:dyDescent="0.3">
      <c r="B51" s="88">
        <v>1004</v>
      </c>
      <c r="C51" s="89">
        <v>45306</v>
      </c>
      <c r="D51" s="88" t="s">
        <v>20</v>
      </c>
      <c r="E51" s="88" t="s">
        <v>21</v>
      </c>
      <c r="F51" s="88" t="s">
        <v>22</v>
      </c>
      <c r="G51" s="88" t="s">
        <v>19</v>
      </c>
      <c r="H51" s="88">
        <v>3</v>
      </c>
      <c r="I51" s="88">
        <v>7000</v>
      </c>
      <c r="J51" s="88">
        <v>21000</v>
      </c>
      <c r="M51" s="12">
        <v>1007</v>
      </c>
      <c r="N51" s="13">
        <v>45316</v>
      </c>
      <c r="O51" s="12" t="s">
        <v>16</v>
      </c>
      <c r="P51" s="12" t="s">
        <v>17</v>
      </c>
      <c r="Q51" s="12" t="s">
        <v>23</v>
      </c>
      <c r="R51" s="12" t="s">
        <v>19</v>
      </c>
      <c r="S51" s="12">
        <v>2</v>
      </c>
      <c r="T51" s="12">
        <v>10000</v>
      </c>
      <c r="U51" s="12">
        <v>20000</v>
      </c>
    </row>
    <row r="52" spans="2:21" ht="14.4" customHeight="1" x14ac:dyDescent="0.3">
      <c r="B52" s="88">
        <v>1005</v>
      </c>
      <c r="C52" s="89">
        <v>45309</v>
      </c>
      <c r="D52" s="88" t="s">
        <v>9</v>
      </c>
      <c r="E52" s="88" t="s">
        <v>10</v>
      </c>
      <c r="F52" s="88" t="s">
        <v>15</v>
      </c>
      <c r="G52" s="88" t="s">
        <v>12</v>
      </c>
      <c r="H52" s="88">
        <v>4</v>
      </c>
      <c r="I52" s="88">
        <v>20000</v>
      </c>
      <c r="J52" s="88">
        <v>80000</v>
      </c>
      <c r="M52" s="12">
        <v>1008</v>
      </c>
      <c r="N52" s="13">
        <v>45319</v>
      </c>
      <c r="O52" s="12" t="s">
        <v>20</v>
      </c>
      <c r="P52" s="12" t="s">
        <v>21</v>
      </c>
      <c r="Q52" s="12" t="s">
        <v>15</v>
      </c>
      <c r="R52" s="12" t="s">
        <v>12</v>
      </c>
      <c r="S52" s="12">
        <v>6</v>
      </c>
      <c r="T52" s="12">
        <v>20000</v>
      </c>
      <c r="U52" s="12">
        <v>120000</v>
      </c>
    </row>
    <row r="53" spans="2:21" ht="13.8" customHeight="1" x14ac:dyDescent="0.3">
      <c r="B53" s="88">
        <v>1006</v>
      </c>
      <c r="C53" s="89">
        <v>45311</v>
      </c>
      <c r="D53" s="88" t="s">
        <v>13</v>
      </c>
      <c r="E53" s="88" t="s">
        <v>14</v>
      </c>
      <c r="F53" s="88" t="s">
        <v>11</v>
      </c>
      <c r="G53" s="88" t="s">
        <v>12</v>
      </c>
      <c r="H53" s="88">
        <v>1</v>
      </c>
      <c r="I53" s="88">
        <v>50000</v>
      </c>
      <c r="J53" s="88">
        <v>50000</v>
      </c>
      <c r="M53" s="12">
        <v>1009</v>
      </c>
      <c r="N53" s="13">
        <v>45324</v>
      </c>
      <c r="O53" s="12" t="s">
        <v>9</v>
      </c>
      <c r="P53" s="12" t="s">
        <v>10</v>
      </c>
      <c r="Q53" s="12" t="s">
        <v>22</v>
      </c>
      <c r="R53" s="12" t="s">
        <v>19</v>
      </c>
      <c r="S53" s="12">
        <v>5</v>
      </c>
      <c r="T53" s="12">
        <v>7000</v>
      </c>
      <c r="U53" s="12">
        <v>35000</v>
      </c>
    </row>
    <row r="54" spans="2:21" x14ac:dyDescent="0.3">
      <c r="B54" s="88">
        <v>1007</v>
      </c>
      <c r="C54" s="89">
        <v>45316</v>
      </c>
      <c r="D54" s="88" t="s">
        <v>16</v>
      </c>
      <c r="E54" s="88" t="s">
        <v>17</v>
      </c>
      <c r="F54" s="88" t="s">
        <v>23</v>
      </c>
      <c r="G54" s="88" t="s">
        <v>19</v>
      </c>
      <c r="H54" s="88">
        <v>2</v>
      </c>
      <c r="I54" s="88">
        <v>10000</v>
      </c>
      <c r="J54" s="88">
        <v>20000</v>
      </c>
      <c r="M54" s="12">
        <v>1010</v>
      </c>
      <c r="N54" s="13">
        <v>45327</v>
      </c>
      <c r="O54" s="12" t="s">
        <v>13</v>
      </c>
      <c r="P54" s="12" t="s">
        <v>14</v>
      </c>
      <c r="Q54" s="12" t="s">
        <v>18</v>
      </c>
      <c r="R54" s="12" t="s">
        <v>19</v>
      </c>
      <c r="S54" s="12">
        <v>7</v>
      </c>
      <c r="T54" s="12">
        <v>3000</v>
      </c>
      <c r="U54" s="12">
        <v>21000</v>
      </c>
    </row>
    <row r="55" spans="2:21" ht="14.4" customHeight="1" x14ac:dyDescent="0.3">
      <c r="B55" s="88">
        <v>1008</v>
      </c>
      <c r="C55" s="89">
        <v>45319</v>
      </c>
      <c r="D55" s="88" t="s">
        <v>20</v>
      </c>
      <c r="E55" s="88" t="s">
        <v>21</v>
      </c>
      <c r="F55" s="88" t="s">
        <v>15</v>
      </c>
      <c r="G55" s="88" t="s">
        <v>12</v>
      </c>
      <c r="H55" s="88">
        <v>6</v>
      </c>
      <c r="I55" s="88">
        <v>20000</v>
      </c>
      <c r="J55" s="88">
        <v>120000</v>
      </c>
    </row>
    <row r="56" spans="2:21" x14ac:dyDescent="0.3">
      <c r="B56" s="88">
        <v>1009</v>
      </c>
      <c r="C56" s="89">
        <v>45324</v>
      </c>
      <c r="D56" s="88" t="s">
        <v>9</v>
      </c>
      <c r="E56" s="88" t="s">
        <v>10</v>
      </c>
      <c r="F56" s="88" t="s">
        <v>22</v>
      </c>
      <c r="G56" s="88" t="s">
        <v>19</v>
      </c>
      <c r="H56" s="88">
        <v>5</v>
      </c>
      <c r="I56" s="88">
        <v>7000</v>
      </c>
      <c r="J56" s="88">
        <v>35000</v>
      </c>
    </row>
    <row r="57" spans="2:21" x14ac:dyDescent="0.3">
      <c r="B57" s="88">
        <v>1010</v>
      </c>
      <c r="C57" s="89">
        <v>45327</v>
      </c>
      <c r="D57" s="88" t="s">
        <v>13</v>
      </c>
      <c r="E57" s="88" t="s">
        <v>14</v>
      </c>
      <c r="F57" s="88" t="s">
        <v>18</v>
      </c>
      <c r="G57" s="88" t="s">
        <v>19</v>
      </c>
      <c r="H57" s="88">
        <v>7</v>
      </c>
      <c r="I57" s="88">
        <v>3000</v>
      </c>
      <c r="J57" s="88">
        <v>21000</v>
      </c>
    </row>
  </sheetData>
  <autoFilter ref="H15:P25" xr:uid="{2765A156-9DF3-4D31-B43A-7CB967F68FAE}">
    <filterColumn colId="5">
      <filters>
        <filter val="Electronics"/>
      </filters>
    </filterColumn>
  </autoFilter>
  <sortState xmlns:xlrd2="http://schemas.microsoft.com/office/spreadsheetml/2017/richdata2" ref="K3:K12">
    <sortCondition descending="1" ref="K3:K12"/>
  </sortState>
  <mergeCells count="7">
    <mergeCell ref="B46:J46"/>
    <mergeCell ref="M43:U43"/>
    <mergeCell ref="H14:P14"/>
    <mergeCell ref="M29:U29"/>
    <mergeCell ref="F41:H41"/>
    <mergeCell ref="F42:G42"/>
    <mergeCell ref="H42:H43"/>
  </mergeCells>
  <conditionalFormatting sqref="J48:J57">
    <cfRule type="cellIs" dxfId="2" priority="2" operator="greaterThan">
      <formula>100000</formula>
    </cfRule>
  </conditionalFormatting>
  <conditionalFormatting sqref="S45:S54">
    <cfRule type="cellIs" dxfId="0" priority="1" operator="lessThan">
      <formula>3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CHANDRIMA</dc:creator>
  <cp:lastModifiedBy>CHANDRIMA</cp:lastModifiedBy>
  <dcterms:created xsi:type="dcterms:W3CDTF">2026-03-04T15:47:06Z</dcterms:created>
  <dcterms:modified xsi:type="dcterms:W3CDTF">2026-03-04T21:03:32Z</dcterms:modified>
</cp:coreProperties>
</file>