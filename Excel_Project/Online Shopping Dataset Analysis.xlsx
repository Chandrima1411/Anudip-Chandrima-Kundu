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CHANDRIMA\Desktop\"/>
    </mc:Choice>
  </mc:AlternateContent>
  <xr:revisionPtr revIDLastSave="0" documentId="13_ncr:1_{1764BF57-20ED-49F2-AC65-59D88975A426}" xr6:coauthVersionLast="47" xr6:coauthVersionMax="47" xr10:uidLastSave="{00000000-0000-0000-0000-000000000000}"/>
  <bookViews>
    <workbookView xWindow="-108" yWindow="-108" windowWidth="23256" windowHeight="12456" xr2:uid="{1FF5DB94-6E66-4834-BBDC-703EEF1F0B6C}"/>
  </bookViews>
  <sheets>
    <sheet name="online shopping data" sheetId="1" r:id="rId1"/>
    <sheet name="Questions" sheetId="4" r:id="rId2"/>
    <sheet name="Answers" sheetId="5" r:id="rId3"/>
    <sheet name="Pivot Table" sheetId="8" r:id="rId4"/>
    <sheet name="Pivot Chart" sheetId="9" r:id="rId5"/>
  </sheets>
  <definedNames>
    <definedName name="_xlnm._FilterDatabase" localSheetId="0" hidden="1">'online shopping data'!$A$1:$O$1001</definedName>
    <definedName name="Slicer_Category">#N/A</definedName>
    <definedName name="Slicer_Months__Order_Date">#N/A</definedName>
    <definedName name="Slicer_Produc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2" i="5" l="1"/>
  <c r="R27" i="5"/>
  <c r="N27" i="5"/>
  <c r="J24" i="5"/>
  <c r="J25" i="5"/>
  <c r="J26" i="5"/>
  <c r="J27" i="5"/>
  <c r="J28" i="5"/>
  <c r="J29" i="5"/>
  <c r="J30" i="5"/>
  <c r="J31" i="5"/>
  <c r="J32" i="5"/>
  <c r="J33" i="5"/>
  <c r="J34" i="5"/>
  <c r="J35" i="5"/>
  <c r="J23" i="5"/>
  <c r="R23" i="5"/>
  <c r="O22" i="5"/>
  <c r="M22" i="5"/>
  <c r="L16" i="5"/>
  <c r="G17" i="5"/>
  <c r="G12" i="5"/>
  <c r="R7" i="5"/>
  <c r="O7" i="5"/>
  <c r="L6" i="5"/>
  <c r="I6" i="5"/>
  <c r="F6" i="5"/>
  <c r="C6" i="5"/>
</calcChain>
</file>

<file path=xl/sharedStrings.xml><?xml version="1.0" encoding="utf-8"?>
<sst xmlns="http://schemas.openxmlformats.org/spreadsheetml/2006/main" count="6223" uniqueCount="122">
  <si>
    <t>Product</t>
  </si>
  <si>
    <t>Category</t>
  </si>
  <si>
    <t>Price</t>
  </si>
  <si>
    <t>Quantity</t>
  </si>
  <si>
    <t>Total Amount</t>
  </si>
  <si>
    <t>Order Date</t>
  </si>
  <si>
    <t>Payment Method</t>
  </si>
  <si>
    <t>City</t>
  </si>
  <si>
    <t>Delivery Status</t>
  </si>
  <si>
    <t>Rating</t>
  </si>
  <si>
    <t>Discount</t>
  </si>
  <si>
    <t>Profit</t>
  </si>
  <si>
    <t>Return Status</t>
  </si>
  <si>
    <t>Bag</t>
  </si>
  <si>
    <t>Electronics</t>
  </si>
  <si>
    <t>Card</t>
  </si>
  <si>
    <t>Chennai</t>
  </si>
  <si>
    <t>Pending</t>
  </si>
  <si>
    <t>Not Returned</t>
  </si>
  <si>
    <t>Headphones</t>
  </si>
  <si>
    <t>Fashion</t>
  </si>
  <si>
    <t>Mumbai</t>
  </si>
  <si>
    <t>Returned</t>
  </si>
  <si>
    <t>Phone</t>
  </si>
  <si>
    <t>Delivered</t>
  </si>
  <si>
    <t>Accessories</t>
  </si>
  <si>
    <t>NetBanking</t>
  </si>
  <si>
    <t>Delhi</t>
  </si>
  <si>
    <t>Cancelled</t>
  </si>
  <si>
    <t>Shoes</t>
  </si>
  <si>
    <t>UPI</t>
  </si>
  <si>
    <t>Bangalore</t>
  </si>
  <si>
    <t>Watch</t>
  </si>
  <si>
    <t>Cash</t>
  </si>
  <si>
    <t>Laptop</t>
  </si>
  <si>
    <t>Kolkata</t>
  </si>
  <si>
    <t>Customer ID</t>
  </si>
  <si>
    <t>Order ID</t>
  </si>
  <si>
    <t>12. Calculate profit using a formula combining TotalAmount, Discount, and Cost.</t>
  </si>
  <si>
    <t xml:space="preserve">QUESTIONS </t>
  </si>
  <si>
    <r>
      <t xml:space="preserve">1. Calculate the total sales using the </t>
    </r>
    <r>
      <rPr>
        <b/>
        <sz val="12"/>
        <color theme="1"/>
        <rFont val="Calibri"/>
        <family val="2"/>
        <scheme val="minor"/>
      </rPr>
      <t>SUM function</t>
    </r>
    <r>
      <rPr>
        <sz val="12"/>
        <color theme="1"/>
        <rFont val="Calibri"/>
        <family val="2"/>
        <scheme val="minor"/>
      </rPr>
      <t>.</t>
    </r>
  </si>
  <si>
    <r>
      <t xml:space="preserve">2. Find the average sales using the </t>
    </r>
    <r>
      <rPr>
        <b/>
        <sz val="12"/>
        <color theme="1"/>
        <rFont val="Calibri"/>
        <family val="2"/>
        <scheme val="minor"/>
      </rPr>
      <t>AVERAGE function</t>
    </r>
    <r>
      <rPr>
        <sz val="12"/>
        <color theme="1"/>
        <rFont val="Calibri"/>
        <family val="2"/>
        <scheme val="minor"/>
      </rPr>
      <t>.</t>
    </r>
  </si>
  <si>
    <r>
      <t xml:space="preserve">10. Use </t>
    </r>
    <r>
      <rPr>
        <b/>
        <sz val="12"/>
        <color theme="1"/>
        <rFont val="Calibri"/>
        <family val="2"/>
        <scheme val="minor"/>
      </rPr>
      <t>IF function</t>
    </r>
    <r>
      <rPr>
        <sz val="12"/>
        <color theme="1"/>
        <rFont val="Calibri"/>
        <family val="2"/>
        <scheme val="minor"/>
      </rPr>
      <t xml:space="preserve"> to classify orders as “High Sale” or “Low Sale”.</t>
    </r>
  </si>
  <si>
    <r>
      <t xml:space="preserve">3. Count the total number of orders using the </t>
    </r>
    <r>
      <rPr>
        <b/>
        <sz val="12"/>
        <color theme="1"/>
        <rFont val="Calibri"/>
        <family val="2"/>
        <scheme val="minor"/>
      </rPr>
      <t>COUNT function</t>
    </r>
    <r>
      <rPr>
        <sz val="12"/>
        <color theme="1"/>
        <rFont val="Calibri"/>
        <family val="2"/>
        <scheme val="minor"/>
      </rPr>
      <t>.</t>
    </r>
  </si>
  <si>
    <r>
      <t xml:space="preserve">11. Find the highest and lowest sales using the </t>
    </r>
    <r>
      <rPr>
        <b/>
        <sz val="12"/>
        <color theme="1"/>
        <rFont val="Calibri"/>
        <family val="2"/>
        <scheme val="minor"/>
      </rPr>
      <t>MAX and MIN functions</t>
    </r>
    <r>
      <rPr>
        <sz val="12"/>
        <color theme="1"/>
        <rFont val="Calibri"/>
        <family val="2"/>
        <scheme val="minor"/>
      </rPr>
      <t>.</t>
    </r>
  </si>
  <si>
    <r>
      <t xml:space="preserve">4. Count how many orders are returned using the </t>
    </r>
    <r>
      <rPr>
        <b/>
        <sz val="12"/>
        <color theme="1"/>
        <rFont val="Calibri"/>
        <family val="2"/>
        <scheme val="minor"/>
      </rPr>
      <t>COUNTIF function</t>
    </r>
    <r>
      <rPr>
        <sz val="12"/>
        <color theme="1"/>
        <rFont val="Calibri"/>
        <family val="2"/>
        <scheme val="minor"/>
      </rPr>
      <t>.</t>
    </r>
  </si>
  <si>
    <r>
      <t xml:space="preserve">5. Calculate total sales for a specific category (e.g., Electronics) using the </t>
    </r>
    <r>
      <rPr>
        <b/>
        <sz val="12"/>
        <color theme="1"/>
        <rFont val="Calibri"/>
        <family val="2"/>
        <scheme val="minor"/>
      </rPr>
      <t>SUMIF function</t>
    </r>
    <r>
      <rPr>
        <sz val="12"/>
        <color theme="1"/>
        <rFont val="Calibri"/>
        <family val="2"/>
        <scheme val="minor"/>
      </rPr>
      <t>.</t>
    </r>
  </si>
  <si>
    <r>
      <t xml:space="preserve">   13. Use </t>
    </r>
    <r>
      <rPr>
        <b/>
        <sz val="12"/>
        <color theme="1"/>
        <rFont val="Calibri"/>
        <family val="2"/>
        <scheme val="minor"/>
      </rPr>
      <t>COUNTIF function</t>
    </r>
    <r>
      <rPr>
        <sz val="12"/>
        <color theme="1"/>
        <rFont val="Calibri"/>
        <family val="2"/>
        <scheme val="minor"/>
      </rPr>
      <t xml:space="preserve"> to count how many orders are from a specific payment method (e.g., Cash on Delivery).</t>
    </r>
  </si>
  <si>
    <r>
      <t xml:space="preserve">6. Calculate total sales for a specific city using the </t>
    </r>
    <r>
      <rPr>
        <b/>
        <sz val="12"/>
        <color theme="1"/>
        <rFont val="Calibri"/>
        <family val="2"/>
        <scheme val="minor"/>
      </rPr>
      <t>SUMIF function</t>
    </r>
    <r>
      <rPr>
        <sz val="12"/>
        <color theme="1"/>
        <rFont val="Calibri"/>
        <family val="2"/>
        <scheme val="minor"/>
      </rPr>
      <t>.</t>
    </r>
  </si>
  <si>
    <r>
      <t xml:space="preserve">  14. Use </t>
    </r>
    <r>
      <rPr>
        <b/>
        <sz val="12"/>
        <color theme="1"/>
        <rFont val="Calibri"/>
        <family val="2"/>
        <scheme val="minor"/>
      </rPr>
      <t>SUMIFS function</t>
    </r>
    <r>
      <rPr>
        <sz val="12"/>
        <color theme="1"/>
        <rFont val="Calibri"/>
        <family val="2"/>
        <scheme val="minor"/>
      </rPr>
      <t xml:space="preserve"> to calculate total sales for a specific category and city.</t>
    </r>
  </si>
  <si>
    <r>
      <t xml:space="preserve">7. Use </t>
    </r>
    <r>
      <rPr>
        <b/>
        <sz val="12"/>
        <color theme="1"/>
        <rFont val="Calibri"/>
        <family val="2"/>
        <scheme val="minor"/>
      </rPr>
      <t>VLOOKUP function</t>
    </r>
    <r>
      <rPr>
        <sz val="12"/>
        <color theme="1"/>
        <rFont val="Calibri"/>
        <family val="2"/>
        <scheme val="minor"/>
      </rPr>
      <t xml:space="preserve"> to find the category of a product from a separate table.</t>
    </r>
  </si>
  <si>
    <r>
      <t xml:space="preserve">8. Use </t>
    </r>
    <r>
      <rPr>
        <b/>
        <sz val="12"/>
        <color theme="1"/>
        <rFont val="Calibri"/>
        <family val="2"/>
        <scheme val="minor"/>
      </rPr>
      <t>VLOOKUP function</t>
    </r>
    <r>
      <rPr>
        <sz val="12"/>
        <color theme="1"/>
        <rFont val="Calibri"/>
        <family val="2"/>
        <scheme val="minor"/>
      </rPr>
      <t xml:space="preserve"> to find the unit price of a product.</t>
    </r>
  </si>
  <si>
    <r>
      <t xml:space="preserve">9. Use </t>
    </r>
    <r>
      <rPr>
        <b/>
        <sz val="12"/>
        <color theme="1"/>
        <rFont val="Calibri"/>
        <family val="2"/>
        <scheme val="minor"/>
      </rPr>
      <t>HLOOKUP function</t>
    </r>
    <r>
      <rPr>
        <sz val="12"/>
        <color theme="1"/>
        <rFont val="Calibri"/>
        <family val="2"/>
        <scheme val="minor"/>
      </rPr>
      <t xml:space="preserve"> to find discount percentage based on product category.</t>
    </r>
  </si>
  <si>
    <t>ANSWERS</t>
  </si>
  <si>
    <t>Total Sales</t>
  </si>
  <si>
    <t>Question 1</t>
  </si>
  <si>
    <t>Question 2</t>
  </si>
  <si>
    <t>Average Sales</t>
  </si>
  <si>
    <t>Total No. of Orders</t>
  </si>
  <si>
    <t>Question 3</t>
  </si>
  <si>
    <t>Returned Orders</t>
  </si>
  <si>
    <t>Question 4</t>
  </si>
  <si>
    <t>Question 5</t>
  </si>
  <si>
    <t>Question 6</t>
  </si>
  <si>
    <t>Question 7</t>
  </si>
  <si>
    <t>Question 8</t>
  </si>
  <si>
    <t>product</t>
  </si>
  <si>
    <t>VLOOKUP Function</t>
  </si>
  <si>
    <t>Question 9</t>
  </si>
  <si>
    <t>HLOOKUP Function</t>
  </si>
  <si>
    <t>MAX</t>
  </si>
  <si>
    <t>MIN</t>
  </si>
  <si>
    <t>Highest and Lowest Sales</t>
  </si>
  <si>
    <t>Question 11</t>
  </si>
  <si>
    <t>Question 12</t>
  </si>
  <si>
    <t>Profit Calculation Formula</t>
  </si>
  <si>
    <t>If Cost = 70% of Price</t>
  </si>
  <si>
    <t xml:space="preserve">PROFIT </t>
  </si>
  <si>
    <t>High/Low Sales</t>
  </si>
  <si>
    <t>Example Condition : &gt;50000= High</t>
  </si>
  <si>
    <t>Question 10</t>
  </si>
  <si>
    <t>Payement Method</t>
  </si>
  <si>
    <t>Count Order</t>
  </si>
  <si>
    <t>Question 13</t>
  </si>
  <si>
    <t>Total sales</t>
  </si>
  <si>
    <t>Question 14</t>
  </si>
  <si>
    <t xml:space="preserve">Product </t>
  </si>
  <si>
    <t>Result</t>
  </si>
  <si>
    <r>
      <t xml:space="preserve">  15. Use </t>
    </r>
    <r>
      <rPr>
        <b/>
        <sz val="12"/>
        <color theme="1"/>
        <rFont val="Calibri"/>
        <family val="2"/>
        <scheme val="minor"/>
      </rPr>
      <t>VLOOKUP with IF</t>
    </r>
    <r>
      <rPr>
        <sz val="12"/>
        <color theme="1"/>
        <rFont val="Calibri"/>
        <family val="2"/>
        <scheme val="minor"/>
      </rPr>
      <t xml:space="preserve"> to display “Valid” or “Invalid” product based on lookup result.</t>
    </r>
  </si>
  <si>
    <t>Question 15</t>
  </si>
  <si>
    <t>Row Labels</t>
  </si>
  <si>
    <t>Grand Total</t>
  </si>
  <si>
    <t>Sum of Total Amount</t>
  </si>
  <si>
    <t>Total Sales by Category</t>
  </si>
  <si>
    <t>Sales by City</t>
  </si>
  <si>
    <t>Sum of Profit</t>
  </si>
  <si>
    <t>Profit by Category</t>
  </si>
  <si>
    <t>Sum of Quantity</t>
  </si>
  <si>
    <t>Top Selling Products</t>
  </si>
  <si>
    <t>Payment Method Analysis</t>
  </si>
  <si>
    <t>Count of Return Status</t>
  </si>
  <si>
    <t>Return Analysis</t>
  </si>
  <si>
    <t>Discount Average</t>
  </si>
  <si>
    <t>Average of Discount</t>
  </si>
  <si>
    <t>Jan</t>
  </si>
  <si>
    <t>Feb</t>
  </si>
  <si>
    <t>Mar</t>
  </si>
  <si>
    <t>Apr</t>
  </si>
  <si>
    <t>May</t>
  </si>
  <si>
    <t>Jun</t>
  </si>
  <si>
    <t>Jul</t>
  </si>
  <si>
    <t>Aug</t>
  </si>
  <si>
    <t>Sep</t>
  </si>
  <si>
    <t>Oct</t>
  </si>
  <si>
    <t>Nov</t>
  </si>
  <si>
    <t>Dec</t>
  </si>
  <si>
    <t>Monthly Sales Trend</t>
  </si>
  <si>
    <t>Column Labels</t>
  </si>
  <si>
    <t>Category vs. City</t>
  </si>
  <si>
    <t>Profit vs. Sales Comparision</t>
  </si>
  <si>
    <t>PIVOT TABLE ANALYSIS</t>
  </si>
  <si>
    <t>PIVOT CHART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</si>
</sst>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22"/>
      <color theme="0"/>
      <name val="Calibri"/>
      <family val="2"/>
      <scheme val="minor"/>
    </font>
    <font>
      <sz val="12"/>
      <color theme="1"/>
      <name val="Calibri"/>
      <family val="2"/>
      <scheme val="minor"/>
    </font>
    <font>
      <b/>
      <sz val="22"/>
      <color theme="1"/>
      <name val="Calibri"/>
      <family val="2"/>
      <scheme val="minor"/>
    </font>
    <font>
      <b/>
      <sz val="12"/>
      <color theme="0"/>
      <name val="Calibri"/>
      <family val="2"/>
      <scheme val="minor"/>
    </font>
    <font>
      <b/>
      <sz val="11"/>
      <color rgb="FFC00000"/>
      <name val="Calibri"/>
      <family val="2"/>
      <scheme val="minor"/>
    </font>
    <font>
      <sz val="8"/>
      <name val="Calibri"/>
      <family val="2"/>
      <scheme val="minor"/>
    </font>
    <font>
      <b/>
      <sz val="11"/>
      <color theme="0"/>
      <name val="Calibri"/>
      <family val="2"/>
      <scheme val="minor"/>
    </font>
    <font>
      <sz val="14"/>
      <color theme="1"/>
      <name val="Calibri"/>
      <family val="2"/>
      <scheme val="minor"/>
    </font>
    <font>
      <b/>
      <sz val="14"/>
      <color theme="0"/>
      <name val="Calibri"/>
      <family val="2"/>
      <scheme val="minor"/>
    </font>
    <font>
      <sz val="11"/>
      <color theme="0"/>
      <name val="Calibri"/>
      <family val="2"/>
      <scheme val="minor"/>
    </font>
    <font>
      <b/>
      <sz val="24"/>
      <color theme="0"/>
      <name val="Calibri"/>
      <family val="2"/>
      <scheme val="minor"/>
    </font>
    <font>
      <sz val="11"/>
      <color rgb="FF00206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9"/>
        <bgColor indexed="64"/>
      </patternFill>
    </fill>
    <fill>
      <patternFill patternType="solid">
        <fgColor theme="9" tint="0.39997558519241921"/>
        <bgColor indexed="64"/>
      </patternFill>
    </fill>
    <fill>
      <patternFill patternType="solid">
        <fgColor rgb="FF002060"/>
        <bgColor indexed="64"/>
      </patternFill>
    </fill>
    <fill>
      <patternFill patternType="solid">
        <fgColor theme="7"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29">
    <xf numFmtId="0" fontId="0" fillId="0" borderId="0" xfId="0"/>
    <xf numFmtId="0" fontId="7" fillId="3" borderId="4" xfId="0" applyFont="1" applyFill="1" applyBorder="1" applyAlignment="1">
      <alignment horizontal="center"/>
    </xf>
    <xf numFmtId="0" fontId="0" fillId="0" borderId="5" xfId="0" applyBorder="1"/>
    <xf numFmtId="0" fontId="0" fillId="0" borderId="6" xfId="0" applyBorder="1"/>
    <xf numFmtId="0" fontId="0" fillId="0" borderId="10" xfId="0" applyBorder="1"/>
    <xf numFmtId="0" fontId="1" fillId="0" borderId="11" xfId="0" applyFont="1" applyBorder="1"/>
    <xf numFmtId="0" fontId="1" fillId="0" borderId="13" xfId="0" applyFont="1" applyBorder="1"/>
    <xf numFmtId="0" fontId="1" fillId="0" borderId="14" xfId="0" applyFont="1" applyBorder="1"/>
    <xf numFmtId="0" fontId="1" fillId="0" borderId="9" xfId="0" applyFont="1" applyBorder="1"/>
    <xf numFmtId="0" fontId="0" fillId="0" borderId="12" xfId="0" applyBorder="1"/>
    <xf numFmtId="0" fontId="6" fillId="0" borderId="0" xfId="0" applyFont="1"/>
    <xf numFmtId="9" fontId="7" fillId="3" borderId="4" xfId="0" applyNumberFormat="1" applyFont="1" applyFill="1" applyBorder="1" applyAlignment="1">
      <alignment horizontal="center"/>
    </xf>
    <xf numFmtId="9" fontId="0" fillId="0" borderId="0" xfId="0" applyNumberFormat="1"/>
    <xf numFmtId="9" fontId="0" fillId="0" borderId="10" xfId="0" applyNumberFormat="1" applyBorder="1"/>
    <xf numFmtId="0" fontId="0" fillId="0" borderId="16" xfId="0" applyBorder="1"/>
    <xf numFmtId="0" fontId="0" fillId="0" borderId="17" xfId="0" applyBorder="1"/>
    <xf numFmtId="0" fontId="7" fillId="3" borderId="18" xfId="0" applyFont="1" applyFill="1" applyBorder="1" applyAlignment="1">
      <alignment horizontal="center"/>
    </xf>
    <xf numFmtId="9" fontId="7" fillId="3" borderId="18" xfId="0" applyNumberFormat="1" applyFont="1" applyFill="1" applyBorder="1" applyAlignment="1">
      <alignment horizontal="center"/>
    </xf>
    <xf numFmtId="0" fontId="0" fillId="0" borderId="20" xfId="0" applyBorder="1"/>
    <xf numFmtId="0" fontId="0" fillId="0" borderId="24" xfId="0" applyBorder="1"/>
    <xf numFmtId="0" fontId="1" fillId="0" borderId="21" xfId="0" applyFont="1" applyBorder="1"/>
    <xf numFmtId="0" fontId="0" fillId="0" borderId="22" xfId="0" applyBorder="1"/>
    <xf numFmtId="0" fontId="1" fillId="0" borderId="24" xfId="0" applyFont="1" applyBorder="1"/>
    <xf numFmtId="0" fontId="1" fillId="0" borderId="1" xfId="0" applyFont="1" applyBorder="1"/>
    <xf numFmtId="0" fontId="1" fillId="0" borderId="23" xfId="0" applyFont="1" applyBorder="1"/>
    <xf numFmtId="0" fontId="1" fillId="0" borderId="19" xfId="0" applyFont="1" applyBorder="1"/>
    <xf numFmtId="9" fontId="1" fillId="0" borderId="1" xfId="0" applyNumberFormat="1" applyFont="1" applyBorder="1"/>
    <xf numFmtId="9" fontId="1" fillId="0" borderId="19" xfId="0" applyNumberFormat="1" applyFont="1" applyBorder="1"/>
    <xf numFmtId="0" fontId="1" fillId="0" borderId="26" xfId="0" applyFont="1" applyBorder="1"/>
    <xf numFmtId="0" fontId="1" fillId="0" borderId="4" xfId="0" applyFont="1" applyBorder="1"/>
    <xf numFmtId="0" fontId="1" fillId="0" borderId="27" xfId="0" applyFont="1" applyBorder="1"/>
    <xf numFmtId="0" fontId="7" fillId="3" borderId="23" xfId="0" applyFont="1" applyFill="1" applyBorder="1" applyAlignment="1">
      <alignment horizontal="center"/>
    </xf>
    <xf numFmtId="0" fontId="7" fillId="3" borderId="19" xfId="0" applyFont="1" applyFill="1" applyBorder="1"/>
    <xf numFmtId="0" fontId="0" fillId="0" borderId="19" xfId="0" applyBorder="1"/>
    <xf numFmtId="0" fontId="1" fillId="0" borderId="29" xfId="0" applyFont="1" applyBorder="1"/>
    <xf numFmtId="0" fontId="1" fillId="0" borderId="28" xfId="0" applyFont="1" applyBorder="1"/>
    <xf numFmtId="0" fontId="7" fillId="3" borderId="32" xfId="0" applyFont="1" applyFill="1" applyBorder="1" applyAlignment="1">
      <alignment horizontal="center"/>
    </xf>
    <xf numFmtId="0" fontId="7" fillId="3" borderId="33" xfId="0" applyFont="1" applyFill="1" applyBorder="1" applyAlignment="1">
      <alignment horizontal="center"/>
    </xf>
    <xf numFmtId="0" fontId="7" fillId="3" borderId="34" xfId="0" applyFont="1" applyFill="1" applyBorder="1" applyAlignment="1">
      <alignment horizontal="center"/>
    </xf>
    <xf numFmtId="0" fontId="1" fillId="0" borderId="35" xfId="0" applyFont="1" applyBorder="1"/>
    <xf numFmtId="0" fontId="1" fillId="0" borderId="18" xfId="0" applyFont="1" applyBorder="1"/>
    <xf numFmtId="0" fontId="0" fillId="0" borderId="21" xfId="0" applyBorder="1"/>
    <xf numFmtId="0" fontId="0" fillId="0" borderId="30" xfId="0" applyBorder="1"/>
    <xf numFmtId="0" fontId="11" fillId="0" borderId="0" xfId="0" applyFont="1"/>
    <xf numFmtId="9" fontId="0" fillId="0" borderId="38" xfId="0" applyNumberFormat="1" applyBorder="1"/>
    <xf numFmtId="9" fontId="0" fillId="0" borderId="39" xfId="0" applyNumberFormat="1" applyBorder="1"/>
    <xf numFmtId="9" fontId="0" fillId="0" borderId="40" xfId="0" applyNumberFormat="1" applyBorder="1"/>
    <xf numFmtId="0" fontId="0" fillId="0" borderId="31" xfId="0" pivotButton="1" applyBorder="1"/>
    <xf numFmtId="0" fontId="0" fillId="0" borderId="38" xfId="0" applyBorder="1" applyAlignment="1">
      <alignment horizontal="left"/>
    </xf>
    <xf numFmtId="0" fontId="0" fillId="0" borderId="39" xfId="0" applyBorder="1" applyAlignment="1">
      <alignment horizontal="left"/>
    </xf>
    <xf numFmtId="0" fontId="0" fillId="0" borderId="40" xfId="0" applyBorder="1" applyAlignment="1">
      <alignment horizontal="left"/>
    </xf>
    <xf numFmtId="0" fontId="0" fillId="0" borderId="31" xfId="0" applyBorder="1" applyAlignment="1">
      <alignment horizontal="left"/>
    </xf>
    <xf numFmtId="0" fontId="0" fillId="0" borderId="31" xfId="0" applyBorder="1"/>
    <xf numFmtId="0" fontId="12" fillId="3" borderId="36" xfId="0" applyFont="1" applyFill="1" applyBorder="1"/>
    <xf numFmtId="0" fontId="11" fillId="3" borderId="37" xfId="0" applyFont="1" applyFill="1" applyBorder="1"/>
    <xf numFmtId="0" fontId="13" fillId="7" borderId="0" xfId="0" applyFont="1" applyFill="1"/>
    <xf numFmtId="0" fontId="0" fillId="7" borderId="0" xfId="0" applyFill="1"/>
    <xf numFmtId="0" fontId="15" fillId="0" borderId="0" xfId="0" applyFont="1" applyAlignment="1">
      <alignment horizontal="center"/>
    </xf>
    <xf numFmtId="0" fontId="0" fillId="0" borderId="2" xfId="0" applyBorder="1"/>
    <xf numFmtId="0" fontId="0" fillId="0" borderId="3" xfId="0" applyBorder="1"/>
    <xf numFmtId="0" fontId="0" fillId="0" borderId="44" xfId="0" applyBorder="1"/>
    <xf numFmtId="0" fontId="5" fillId="7" borderId="0" xfId="0" applyFont="1" applyFill="1" applyAlignment="1">
      <alignment horizontal="left" vertical="center" indent="1"/>
    </xf>
    <xf numFmtId="0" fontId="5" fillId="7" borderId="0" xfId="0" applyFont="1" applyFill="1"/>
    <xf numFmtId="0" fontId="0" fillId="3" borderId="0" xfId="0" applyFill="1"/>
    <xf numFmtId="0" fontId="0" fillId="7" borderId="1" xfId="0" applyFill="1" applyBorder="1"/>
    <xf numFmtId="14" fontId="0" fillId="7" borderId="1" xfId="0" applyNumberFormat="1" applyFill="1" applyBorder="1"/>
    <xf numFmtId="9" fontId="0" fillId="7" borderId="1" xfId="0" applyNumberFormat="1" applyFill="1" applyBorder="1"/>
    <xf numFmtId="0" fontId="4" fillId="3" borderId="2" xfId="0" applyFont="1" applyFill="1" applyBorder="1" applyAlignment="1">
      <alignment horizontal="center"/>
    </xf>
    <xf numFmtId="0" fontId="14" fillId="3" borderId="44" xfId="0" applyFont="1" applyFill="1" applyBorder="1" applyAlignment="1">
      <alignment horizontal="center"/>
    </xf>
    <xf numFmtId="0" fontId="14" fillId="3" borderId="3" xfId="0" applyFont="1" applyFill="1" applyBorder="1" applyAlignment="1">
      <alignment horizontal="center"/>
    </xf>
    <xf numFmtId="0" fontId="4" fillId="3" borderId="0" xfId="0" applyFont="1" applyFill="1" applyAlignment="1">
      <alignment horizontal="center"/>
    </xf>
    <xf numFmtId="0" fontId="3" fillId="4" borderId="7" xfId="0" applyFont="1" applyFill="1" applyBorder="1" applyAlignment="1">
      <alignment horizontal="center"/>
    </xf>
    <xf numFmtId="0" fontId="0" fillId="4" borderId="15" xfId="0" applyFill="1" applyBorder="1" applyAlignment="1">
      <alignment horizontal="center"/>
    </xf>
    <xf numFmtId="0" fontId="0" fillId="4" borderId="8" xfId="0"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4" borderId="15" xfId="0" applyFont="1" applyFill="1" applyBorder="1" applyAlignment="1">
      <alignment horizontal="center"/>
    </xf>
    <xf numFmtId="0" fontId="1" fillId="4" borderId="8" xfId="0" applyFont="1" applyFill="1" applyBorder="1" applyAlignment="1">
      <alignment horizontal="center"/>
    </xf>
    <xf numFmtId="0" fontId="1" fillId="0" borderId="9" xfId="0" applyFont="1" applyBorder="1" applyAlignment="1">
      <alignment horizontal="center"/>
    </xf>
    <xf numFmtId="0" fontId="1" fillId="0" borderId="24" xfId="0" applyFont="1" applyBorder="1" applyAlignment="1">
      <alignment horizontal="center"/>
    </xf>
    <xf numFmtId="0" fontId="1" fillId="2" borderId="21" xfId="0" applyFont="1" applyFill="1" applyBorder="1" applyAlignment="1">
      <alignment horizontal="center"/>
    </xf>
    <xf numFmtId="0" fontId="1" fillId="2" borderId="30" xfId="0" applyFont="1" applyFill="1" applyBorder="1" applyAlignment="1">
      <alignment horizontal="center"/>
    </xf>
    <xf numFmtId="0" fontId="1" fillId="2" borderId="22" xfId="0" applyFont="1" applyFill="1" applyBorder="1" applyAlignment="1">
      <alignment horizontal="center"/>
    </xf>
    <xf numFmtId="0" fontId="8" fillId="0" borderId="23" xfId="0" applyFont="1" applyBorder="1" applyAlignment="1">
      <alignment horizontal="center"/>
    </xf>
    <xf numFmtId="0" fontId="8" fillId="0" borderId="19" xfId="0" applyFont="1" applyBorder="1" applyAlignment="1">
      <alignment horizontal="center"/>
    </xf>
    <xf numFmtId="0" fontId="1" fillId="5" borderId="28" xfId="0" applyFont="1" applyFill="1" applyBorder="1" applyAlignment="1">
      <alignment horizontal="center"/>
    </xf>
    <xf numFmtId="0" fontId="1" fillId="5" borderId="29"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0" fillId="2" borderId="22" xfId="0" applyFill="1" applyBorder="1" applyAlignment="1">
      <alignment horizontal="center"/>
    </xf>
    <xf numFmtId="0" fontId="1" fillId="0" borderId="28" xfId="0" applyFont="1" applyBorder="1" applyAlignment="1">
      <alignment horizontal="center"/>
    </xf>
    <xf numFmtId="0" fontId="1" fillId="0" borderId="27" xfId="0" applyFont="1" applyBorder="1" applyAlignment="1">
      <alignment horizontal="center"/>
    </xf>
    <xf numFmtId="0" fontId="2" fillId="5" borderId="23" xfId="0" applyFont="1" applyFill="1" applyBorder="1" applyAlignment="1">
      <alignment horizontal="center"/>
    </xf>
    <xf numFmtId="0" fontId="1" fillId="5" borderId="1" xfId="0" applyFont="1" applyFill="1" applyBorder="1" applyAlignment="1">
      <alignment horizontal="center"/>
    </xf>
    <xf numFmtId="0" fontId="1" fillId="5" borderId="19" xfId="0" applyFont="1" applyFill="1" applyBorder="1" applyAlignment="1">
      <alignment horizontal="center"/>
    </xf>
    <xf numFmtId="0" fontId="1" fillId="2" borderId="25" xfId="0" applyFont="1" applyFill="1" applyBorder="1" applyAlignment="1">
      <alignment horizontal="center"/>
    </xf>
    <xf numFmtId="0" fontId="1" fillId="5" borderId="23"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4" fillId="6" borderId="0" xfId="0" applyFont="1" applyFill="1" applyAlignment="1">
      <alignment horizontal="center"/>
    </xf>
    <xf numFmtId="0" fontId="12" fillId="3" borderId="13" xfId="0" applyFont="1" applyFill="1" applyBorder="1" applyAlignment="1">
      <alignment horizontal="center"/>
    </xf>
    <xf numFmtId="0" fontId="12" fillId="3" borderId="25" xfId="0" applyFont="1" applyFill="1" applyBorder="1" applyAlignment="1">
      <alignment horizontal="center"/>
    </xf>
    <xf numFmtId="0" fontId="12" fillId="3" borderId="14" xfId="0" applyFont="1" applyFill="1" applyBorder="1" applyAlignment="1">
      <alignment horizontal="center"/>
    </xf>
    <xf numFmtId="0" fontId="12" fillId="3" borderId="7" xfId="0" applyFont="1" applyFill="1" applyBorder="1" applyAlignment="1">
      <alignment horizontal="center"/>
    </xf>
    <xf numFmtId="0" fontId="12" fillId="3" borderId="8" xfId="0" applyFont="1" applyFill="1" applyBorder="1" applyAlignment="1">
      <alignment horizontal="center"/>
    </xf>
    <xf numFmtId="0" fontId="10" fillId="3" borderId="8" xfId="0" applyFont="1" applyFill="1" applyBorder="1" applyAlignment="1">
      <alignment horizontal="center"/>
    </xf>
    <xf numFmtId="0" fontId="12" fillId="3" borderId="2" xfId="0" applyFont="1" applyFill="1" applyBorder="1" applyAlignment="1">
      <alignment horizontal="center"/>
    </xf>
    <xf numFmtId="0" fontId="12" fillId="3" borderId="3" xfId="0" applyFont="1" applyFill="1" applyBorder="1" applyAlignment="1">
      <alignment horizontal="center"/>
    </xf>
    <xf numFmtId="0" fontId="0" fillId="0" borderId="41" xfId="0" applyNumberFormat="1" applyFont="1" applyBorder="1"/>
    <xf numFmtId="0" fontId="0" fillId="0" borderId="42" xfId="0" applyNumberFormat="1" applyFont="1" applyBorder="1"/>
    <xf numFmtId="0" fontId="0" fillId="0" borderId="43" xfId="0" applyNumberFormat="1" applyFont="1" applyBorder="1"/>
    <xf numFmtId="0" fontId="0" fillId="0" borderId="31" xfId="0" pivotButton="1" applyFont="1" applyBorder="1"/>
    <xf numFmtId="0" fontId="0" fillId="0" borderId="41" xfId="0" applyFont="1" applyBorder="1" applyAlignment="1">
      <alignment horizontal="left"/>
    </xf>
    <xf numFmtId="0" fontId="0" fillId="0" borderId="42" xfId="0" applyFont="1" applyBorder="1" applyAlignment="1">
      <alignment horizontal="left"/>
    </xf>
    <xf numFmtId="0" fontId="0" fillId="0" borderId="43" xfId="0" applyFont="1" applyBorder="1" applyAlignment="1">
      <alignment horizontal="left"/>
    </xf>
    <xf numFmtId="0" fontId="0" fillId="0" borderId="31" xfId="0" applyFont="1" applyBorder="1" applyAlignment="1">
      <alignment horizontal="left"/>
    </xf>
    <xf numFmtId="0" fontId="0" fillId="0" borderId="31" xfId="0" applyFont="1" applyBorder="1"/>
    <xf numFmtId="0" fontId="0" fillId="0" borderId="0" xfId="0" applyNumberFormat="1" applyBorder="1"/>
    <xf numFmtId="0" fontId="0" fillId="0" borderId="17" xfId="0" applyNumberFormat="1" applyBorder="1"/>
    <xf numFmtId="0" fontId="0" fillId="0" borderId="20" xfId="0" applyNumberFormat="1" applyBorder="1"/>
    <xf numFmtId="0" fontId="0" fillId="0" borderId="6" xfId="0" applyNumberFormat="1" applyBorder="1"/>
    <xf numFmtId="0" fontId="0" fillId="0" borderId="7" xfId="0" applyNumberFormat="1" applyBorder="1"/>
    <xf numFmtId="0" fontId="0" fillId="0" borderId="8" xfId="0" applyNumberFormat="1" applyBorder="1"/>
    <xf numFmtId="0" fontId="0" fillId="0" borderId="16" xfId="0" applyNumberFormat="1" applyBorder="1"/>
    <xf numFmtId="0" fontId="0" fillId="0" borderId="5" xfId="0" applyNumberFormat="1" applyBorder="1"/>
    <xf numFmtId="0" fontId="0" fillId="0" borderId="38" xfId="0" applyNumberFormat="1" applyBorder="1"/>
    <xf numFmtId="0" fontId="0" fillId="0" borderId="39" xfId="0" applyNumberFormat="1" applyBorder="1"/>
    <xf numFmtId="0" fontId="0" fillId="0" borderId="40" xfId="0" applyNumberFormat="1" applyBorder="1"/>
    <xf numFmtId="0" fontId="0" fillId="0" borderId="15" xfId="0" applyNumberFormat="1" applyBorder="1"/>
  </cellXfs>
  <cellStyles count="1">
    <cellStyle name="Normal" xfId="0" builtinId="0"/>
  </cellStyles>
  <dxfs count="182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font>
    </dxf>
    <dxf>
      <font>
        <sz val="11"/>
      </font>
    </dxf>
    <dxf>
      <font>
        <sz val="11"/>
      </font>
    </dxf>
    <dxf>
      <font>
        <sz val="11"/>
      </font>
    </dxf>
    <dxf>
      <font>
        <sz val="11"/>
      </font>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1"/>
      </font>
    </dxf>
    <dxf>
      <font>
        <sz val="11"/>
      </font>
    </dxf>
    <dxf>
      <font>
        <sz val="11"/>
      </font>
    </dxf>
    <dxf>
      <font>
        <sz val="11"/>
      </font>
    </dxf>
    <dxf>
      <font>
        <sz val="11"/>
      </font>
    </dxf>
    <dxf>
      <font>
        <sz val="1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Shopping Dataset Analysis.xlsx]Pivot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C00000"/>
                </a:solidFill>
              </a:rPr>
              <a:t>Total</a:t>
            </a:r>
            <a:r>
              <a:rPr lang="en-US" sz="1050" b="1" baseline="0">
                <a:solidFill>
                  <a:srgbClr val="C00000"/>
                </a:solidFill>
              </a:rPr>
              <a:t> Sales by Category</a:t>
            </a:r>
            <a:endParaRPr lang="en-US" sz="1050" b="1">
              <a:solidFill>
                <a:srgbClr val="C00000"/>
              </a:solidFill>
            </a:endParaRPr>
          </a:p>
        </c:rich>
      </c:tx>
      <c:layout>
        <c:manualLayout>
          <c:xMode val="edge"/>
          <c:yMode val="edge"/>
          <c:x val="2.3304178006772879E-2"/>
          <c:y val="3.4216759490429548E-3"/>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44931059079357"/>
          <c:y val="0.23562447986684593"/>
          <c:w val="0.84176782589676291"/>
          <c:h val="0.62328225569314211"/>
        </c:manualLayout>
      </c:layout>
      <c:barChart>
        <c:barDir val="col"/>
        <c:grouping val="clustered"/>
        <c:varyColors val="0"/>
        <c:ser>
          <c:idx val="0"/>
          <c:order val="0"/>
          <c:tx>
            <c:strRef>
              <c:f>'Pivot Table'!$C$4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Table'!$B$5:$B$8</c:f>
              <c:strCache>
                <c:ptCount val="3"/>
                <c:pt idx="0">
                  <c:v>Accessories</c:v>
                </c:pt>
                <c:pt idx="1">
                  <c:v>Electronics</c:v>
                </c:pt>
                <c:pt idx="2">
                  <c:v>Fashion</c:v>
                </c:pt>
              </c:strCache>
            </c:strRef>
          </c:cat>
          <c:val>
            <c:numRef>
              <c:f>'Pivot Table'!$C$5:$C$8</c:f>
              <c:numCache>
                <c:formatCode>General</c:formatCode>
                <c:ptCount val="3"/>
                <c:pt idx="0">
                  <c:v>27473470</c:v>
                </c:pt>
                <c:pt idx="1">
                  <c:v>28103279</c:v>
                </c:pt>
                <c:pt idx="2">
                  <c:v>22604659</c:v>
                </c:pt>
              </c:numCache>
            </c:numRef>
          </c:val>
          <c:extLst>
            <c:ext xmlns:c16="http://schemas.microsoft.com/office/drawing/2014/chart" uri="{C3380CC4-5D6E-409C-BE32-E72D297353CC}">
              <c16:uniqueId val="{00000000-C8C7-4807-BCFB-143815921145}"/>
            </c:ext>
          </c:extLst>
        </c:ser>
        <c:dLbls>
          <c:dLblPos val="outEnd"/>
          <c:showLegendKey val="0"/>
          <c:showVal val="1"/>
          <c:showCatName val="0"/>
          <c:showSerName val="0"/>
          <c:showPercent val="0"/>
          <c:showBubbleSize val="0"/>
        </c:dLbls>
        <c:gapWidth val="219"/>
        <c:overlap val="-27"/>
        <c:axId val="596565631"/>
        <c:axId val="698305983"/>
      </c:barChart>
      <c:catAx>
        <c:axId val="59656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305983"/>
        <c:crosses val="autoZero"/>
        <c:auto val="1"/>
        <c:lblAlgn val="ctr"/>
        <c:lblOffset val="100"/>
        <c:noMultiLvlLbl val="0"/>
      </c:catAx>
      <c:valAx>
        <c:axId val="698305983"/>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565631"/>
        <c:crosses val="autoZero"/>
        <c:crossBetween val="between"/>
      </c:valAx>
      <c:spPr>
        <a:noFill/>
        <a:ln>
          <a:noFill/>
        </a:ln>
        <a:effectLst/>
      </c:spPr>
    </c:plotArea>
    <c:legend>
      <c:legendPos val="r"/>
      <c:layout>
        <c:manualLayout>
          <c:xMode val="edge"/>
          <c:yMode val="edge"/>
          <c:x val="0.65266206829687179"/>
          <c:y val="1.1026182702771907E-2"/>
          <c:w val="0.24780711777782394"/>
          <c:h val="0.13474860940547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Shopping Dataset Analysis.xlsx]Pivot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rgbClr val="C00000"/>
                </a:solidFill>
                <a:latin typeface="+mn-lt"/>
                <a:ea typeface="+mn-ea"/>
                <a:cs typeface="+mn-cs"/>
              </a:rPr>
              <a:t>Sales </a:t>
            </a:r>
            <a:r>
              <a:rPr lang="en-US" sz="1100" b="1" baseline="0">
                <a:solidFill>
                  <a:srgbClr val="C00000"/>
                </a:solidFill>
              </a:rPr>
              <a:t>by City</a:t>
            </a:r>
            <a:endParaRPr lang="en-US" sz="1100" b="1">
              <a:solidFill>
                <a:srgbClr val="C00000"/>
              </a:solidFill>
            </a:endParaRPr>
          </a:p>
        </c:rich>
      </c:tx>
      <c:layout>
        <c:manualLayout>
          <c:xMode val="edge"/>
          <c:yMode val="edge"/>
          <c:x val="3.5645669291338583E-2"/>
          <c:y val="3.2407168366249302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230384437239449"/>
              <c:y val="-4.7814207650273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5098039215686131E-2"/>
              <c:y val="0.129781420765027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638800644811996E-17"/>
              <c:y val="-0.14344262295081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4583333333333334"/>
              <c:y val="6.83060109289617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541666666666667"/>
              <c:y val="-4.09836065573770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346303587051618"/>
          <c:y val="0.13930555555555554"/>
          <c:w val="0.5025277777777778"/>
          <c:h val="0.83754629629629629"/>
        </c:manualLayout>
      </c:layout>
      <c:doughnutChart>
        <c:varyColors val="1"/>
        <c:ser>
          <c:idx val="0"/>
          <c:order val="0"/>
          <c:tx>
            <c:strRef>
              <c:f>'Pivot Table'!$G$4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50-4211-BAA5-3E2C67DF2C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50-4211-BAA5-3E2C67DF2C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50-4211-BAA5-3E2C67DF2C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50-4211-BAA5-3E2C67DF2C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50-4211-BAA5-3E2C67DF2C9E}"/>
              </c:ext>
            </c:extLst>
          </c:dPt>
          <c:dLbls>
            <c:dLbl>
              <c:idx val="0"/>
              <c:layout>
                <c:manualLayout>
                  <c:x val="0.12230384437239449"/>
                  <c:y val="-4.781420765027325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50-4211-BAA5-3E2C67DF2C9E}"/>
                </c:ext>
              </c:extLst>
            </c:dLbl>
            <c:dLbl>
              <c:idx val="1"/>
              <c:layout>
                <c:manualLayout>
                  <c:x val="9.5098039215686131E-2"/>
                  <c:y val="0.1297814207650273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50-4211-BAA5-3E2C67DF2C9E}"/>
                </c:ext>
              </c:extLst>
            </c:dLbl>
            <c:dLbl>
              <c:idx val="2"/>
              <c:layout>
                <c:manualLayout>
                  <c:x val="-7.638800644811996E-17"/>
                  <c:y val="-0.1434426229508196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50-4211-BAA5-3E2C67DF2C9E}"/>
                </c:ext>
              </c:extLst>
            </c:dLbl>
            <c:dLbl>
              <c:idx val="3"/>
              <c:layout>
                <c:manualLayout>
                  <c:x val="-0.14583333333333334"/>
                  <c:y val="6.8306010928961746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250-4211-BAA5-3E2C67DF2C9E}"/>
                </c:ext>
              </c:extLst>
            </c:dLbl>
            <c:dLbl>
              <c:idx val="4"/>
              <c:layout>
                <c:manualLayout>
                  <c:x val="-0.1541666666666667"/>
                  <c:y val="-4.098360655737704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250-4211-BAA5-3E2C67DF2C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Table'!$F$5:$F$10</c:f>
              <c:strCache>
                <c:ptCount val="5"/>
                <c:pt idx="0">
                  <c:v>Bangalore</c:v>
                </c:pt>
                <c:pt idx="1">
                  <c:v>Chennai</c:v>
                </c:pt>
                <c:pt idx="2">
                  <c:v>Delhi</c:v>
                </c:pt>
                <c:pt idx="3">
                  <c:v>Kolkata</c:v>
                </c:pt>
                <c:pt idx="4">
                  <c:v>Mumbai</c:v>
                </c:pt>
              </c:strCache>
            </c:strRef>
          </c:cat>
          <c:val>
            <c:numRef>
              <c:f>'Pivot Table'!$G$5:$G$10</c:f>
              <c:numCache>
                <c:formatCode>General</c:formatCode>
                <c:ptCount val="5"/>
                <c:pt idx="0">
                  <c:v>15090761</c:v>
                </c:pt>
                <c:pt idx="1">
                  <c:v>15264710</c:v>
                </c:pt>
                <c:pt idx="2">
                  <c:v>16935883</c:v>
                </c:pt>
                <c:pt idx="3">
                  <c:v>16568982</c:v>
                </c:pt>
                <c:pt idx="4">
                  <c:v>14321072</c:v>
                </c:pt>
              </c:numCache>
            </c:numRef>
          </c:val>
          <c:extLst>
            <c:ext xmlns:c16="http://schemas.microsoft.com/office/drawing/2014/chart" uri="{C3380CC4-5D6E-409C-BE32-E72D297353CC}">
              <c16:uniqueId val="{0000000A-D250-4211-BAA5-3E2C67DF2C9E}"/>
            </c:ext>
          </c:extLst>
        </c:ser>
        <c:dLbls>
          <c:showLegendKey val="0"/>
          <c:showVal val="1"/>
          <c:showCatName val="0"/>
          <c:showSerName val="0"/>
          <c:showPercent val="0"/>
          <c:showBubbleSize val="0"/>
          <c:showLeaderLines val="1"/>
        </c:dLbls>
        <c:firstSliceAng val="0"/>
        <c:holeSize val="74"/>
      </c:doughnutChart>
      <c:spPr>
        <a:noFill/>
        <a:ln>
          <a:noFill/>
        </a:ln>
        <a:effectLst/>
      </c:spPr>
    </c:plotArea>
    <c:legend>
      <c:legendPos val="r"/>
      <c:layout>
        <c:manualLayout>
          <c:xMode val="edge"/>
          <c:yMode val="edge"/>
          <c:x val="0.80084711286089227"/>
          <c:y val="4.2535282474936528E-2"/>
          <c:w val="0.19915288713910761"/>
          <c:h val="0.671964416333204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Shopping Dataset Analysis.xlsx]Pivot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C00000"/>
                </a:solidFill>
              </a:rPr>
              <a:t>Profit</a:t>
            </a:r>
            <a:r>
              <a:rPr lang="en-US" sz="1050" b="1" baseline="0">
                <a:solidFill>
                  <a:srgbClr val="C00000"/>
                </a:solidFill>
              </a:rPr>
              <a:t> by Category</a:t>
            </a:r>
            <a:endParaRPr lang="en-US" sz="1050" b="1">
              <a:solidFill>
                <a:srgbClr val="C00000"/>
              </a:solidFill>
            </a:endParaRPr>
          </a:p>
        </c:rich>
      </c:tx>
      <c:layout>
        <c:manualLayout>
          <c:xMode val="edge"/>
          <c:yMode val="edge"/>
          <c:x val="4.0794717286256089E-3"/>
          <c:y val="2.3903931651400718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944444444444445"/>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6.6666666666666666E-2"/>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6111111111111112"/>
              <c:y val="0.1388888888888889"/>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6944444444444445"/>
              <c:y val="6.9444444444444448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6.6666666666666666E-2"/>
              <c:y val="-0.15740740740740741"/>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111111111111112"/>
              <c:y val="0.1388888888888889"/>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8173834039975773"/>
              <c:y val="0.11093812962176408"/>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7.6171304378807855E-2"/>
              <c:y val="-8.82510536805306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3585349342644387"/>
              <c:y val="0.1596355953431132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896128608923885"/>
          <c:y val="0.12018226888305629"/>
          <c:w val="0.55136370114369182"/>
          <c:h val="0.87981779767155666"/>
        </c:manualLayout>
      </c:layout>
      <c:pieChart>
        <c:varyColors val="1"/>
        <c:ser>
          <c:idx val="0"/>
          <c:order val="0"/>
          <c:tx>
            <c:strRef>
              <c:f>'Pivot Table'!$K$4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8C-4193-9133-AE9E623F17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8C-4193-9133-AE9E623F17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8C-4193-9133-AE9E623F173A}"/>
              </c:ext>
            </c:extLst>
          </c:dPt>
          <c:dLbls>
            <c:dLbl>
              <c:idx val="0"/>
              <c:layout>
                <c:manualLayout>
                  <c:x val="-0.18173834039975773"/>
                  <c:y val="0.11093812962176408"/>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D08C-4193-9133-AE9E623F173A}"/>
                </c:ext>
              </c:extLst>
            </c:dLbl>
            <c:dLbl>
              <c:idx val="1"/>
              <c:layout>
                <c:manualLayout>
                  <c:x val="7.6171304378807855E-2"/>
                  <c:y val="-8.82510536805306E-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D08C-4193-9133-AE9E623F173A}"/>
                </c:ext>
              </c:extLst>
            </c:dLbl>
            <c:dLbl>
              <c:idx val="2"/>
              <c:layout>
                <c:manualLayout>
                  <c:x val="0.13585349342644387"/>
                  <c:y val="0.15963559534311322"/>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D08C-4193-9133-AE9E623F173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Table'!$J$5:$J$8</c:f>
              <c:strCache>
                <c:ptCount val="3"/>
                <c:pt idx="0">
                  <c:v>Accessories</c:v>
                </c:pt>
                <c:pt idx="1">
                  <c:v>Electronics</c:v>
                </c:pt>
                <c:pt idx="2">
                  <c:v>Fashion</c:v>
                </c:pt>
              </c:strCache>
            </c:strRef>
          </c:cat>
          <c:val>
            <c:numRef>
              <c:f>'Pivot Table'!$K$5:$K$8</c:f>
              <c:numCache>
                <c:formatCode>General</c:formatCode>
                <c:ptCount val="3"/>
                <c:pt idx="0">
                  <c:v>3462138.7700000023</c:v>
                </c:pt>
                <c:pt idx="1">
                  <c:v>3605909.5700000022</c:v>
                </c:pt>
                <c:pt idx="2">
                  <c:v>2997737.54</c:v>
                </c:pt>
              </c:numCache>
            </c:numRef>
          </c:val>
          <c:extLst>
            <c:ext xmlns:c16="http://schemas.microsoft.com/office/drawing/2014/chart" uri="{C3380CC4-5D6E-409C-BE32-E72D297353CC}">
              <c16:uniqueId val="{00000006-D08C-4193-9133-AE9E623F173A}"/>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3350678422055093"/>
          <c:y val="0.23382010284428731"/>
          <c:w val="0.23859255828315579"/>
          <c:h val="0.59215321113906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Shopping Dataset Analysis.xlsx]Pivot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C00000"/>
                </a:solidFill>
              </a:rPr>
              <a:t>Top Selling Products</a:t>
            </a:r>
          </a:p>
        </c:rich>
      </c:tx>
      <c:layout>
        <c:manualLayout>
          <c:xMode val="edge"/>
          <c:yMode val="edge"/>
          <c:x val="2.5806909271476171E-2"/>
          <c:y val="4.441153926555641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2192407153037"/>
          <c:y val="0.20869974217824541"/>
          <c:w val="0.85284264221272099"/>
          <c:h val="0.56579332450700304"/>
        </c:manualLayout>
      </c:layout>
      <c:barChart>
        <c:barDir val="col"/>
        <c:grouping val="clustered"/>
        <c:varyColors val="0"/>
        <c:ser>
          <c:idx val="0"/>
          <c:order val="0"/>
          <c:tx>
            <c:strRef>
              <c:f>'Pivot Table'!$O$4</c:f>
              <c:strCache>
                <c:ptCount val="1"/>
                <c:pt idx="0">
                  <c:v>Total</c:v>
                </c:pt>
              </c:strCache>
            </c:strRef>
          </c:tx>
          <c:spPr>
            <a:solidFill>
              <a:schemeClr val="accent1"/>
            </a:solidFill>
            <a:ln>
              <a:noFill/>
            </a:ln>
            <a:effectLst/>
          </c:spPr>
          <c:invertIfNegative val="0"/>
          <c:cat>
            <c:strRef>
              <c:f>'Pivot Table'!$N$5:$N$11</c:f>
              <c:strCache>
                <c:ptCount val="6"/>
                <c:pt idx="0">
                  <c:v>Bag</c:v>
                </c:pt>
                <c:pt idx="1">
                  <c:v>Headphones</c:v>
                </c:pt>
                <c:pt idx="2">
                  <c:v>Laptop</c:v>
                </c:pt>
                <c:pt idx="3">
                  <c:v>Phone</c:v>
                </c:pt>
                <c:pt idx="4">
                  <c:v>Shoes</c:v>
                </c:pt>
                <c:pt idx="5">
                  <c:v>Watch</c:v>
                </c:pt>
              </c:strCache>
            </c:strRef>
          </c:cat>
          <c:val>
            <c:numRef>
              <c:f>'Pivot Table'!$O$5:$O$11</c:f>
              <c:numCache>
                <c:formatCode>General</c:formatCode>
                <c:ptCount val="6"/>
                <c:pt idx="0">
                  <c:v>494</c:v>
                </c:pt>
                <c:pt idx="1">
                  <c:v>479</c:v>
                </c:pt>
                <c:pt idx="2">
                  <c:v>511</c:v>
                </c:pt>
                <c:pt idx="3">
                  <c:v>431</c:v>
                </c:pt>
                <c:pt idx="4">
                  <c:v>500</c:v>
                </c:pt>
                <c:pt idx="5">
                  <c:v>521</c:v>
                </c:pt>
              </c:numCache>
            </c:numRef>
          </c:val>
          <c:extLst>
            <c:ext xmlns:c16="http://schemas.microsoft.com/office/drawing/2014/chart" uri="{C3380CC4-5D6E-409C-BE32-E72D297353CC}">
              <c16:uniqueId val="{00000000-967B-461D-92E6-1794E939EAA4}"/>
            </c:ext>
          </c:extLst>
        </c:ser>
        <c:dLbls>
          <c:showLegendKey val="0"/>
          <c:showVal val="0"/>
          <c:showCatName val="0"/>
          <c:showSerName val="0"/>
          <c:showPercent val="0"/>
          <c:showBubbleSize val="0"/>
        </c:dLbls>
        <c:gapWidth val="219"/>
        <c:overlap val="-27"/>
        <c:axId val="602391471"/>
        <c:axId val="602390031"/>
      </c:barChart>
      <c:catAx>
        <c:axId val="60239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390031"/>
        <c:crosses val="autoZero"/>
        <c:auto val="1"/>
        <c:lblAlgn val="ctr"/>
        <c:lblOffset val="1"/>
        <c:noMultiLvlLbl val="0"/>
      </c:catAx>
      <c:valAx>
        <c:axId val="602390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391471"/>
        <c:crosses val="autoZero"/>
        <c:crossBetween val="between"/>
      </c:valAx>
      <c:spPr>
        <a:noFill/>
        <a:ln>
          <a:noFill/>
        </a:ln>
        <a:effectLst/>
      </c:spPr>
    </c:plotArea>
    <c:legend>
      <c:legendPos val="r"/>
      <c:layout>
        <c:manualLayout>
          <c:xMode val="edge"/>
          <c:yMode val="edge"/>
          <c:x val="0.57245416497385004"/>
          <c:y val="3.8882307853111309E-2"/>
          <c:w val="0.27193567941599439"/>
          <c:h val="0.117073142405871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Shopping Dataset Analysis.xlsx]Pivot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C00000"/>
                </a:solidFill>
              </a:rPr>
              <a:t>Payment</a:t>
            </a:r>
            <a:r>
              <a:rPr lang="en-US" sz="1050" b="1" baseline="0">
                <a:solidFill>
                  <a:srgbClr val="C00000"/>
                </a:solidFill>
              </a:rPr>
              <a:t> Method Analysis</a:t>
            </a:r>
            <a:endParaRPr lang="en-US" sz="1050" b="1">
              <a:solidFill>
                <a:srgbClr val="C00000"/>
              </a:solidFill>
            </a:endParaRPr>
          </a:p>
        </c:rich>
      </c:tx>
      <c:layout>
        <c:manualLayout>
          <c:xMode val="edge"/>
          <c:yMode val="edge"/>
          <c:x val="5.5117891513560793E-2"/>
          <c:y val="3.7037037037037035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27498112867819"/>
          <c:y val="0.20781751239428406"/>
          <c:w val="0.70705025658072429"/>
          <c:h val="0.65176345144356951"/>
        </c:manualLayout>
      </c:layout>
      <c:barChart>
        <c:barDir val="bar"/>
        <c:grouping val="clustered"/>
        <c:varyColors val="0"/>
        <c:ser>
          <c:idx val="0"/>
          <c:order val="0"/>
          <c:tx>
            <c:strRef>
              <c:f>'Pivot Table'!$C$13</c:f>
              <c:strCache>
                <c:ptCount val="1"/>
                <c:pt idx="0">
                  <c:v>Total</c:v>
                </c:pt>
              </c:strCache>
            </c:strRef>
          </c:tx>
          <c:spPr>
            <a:solidFill>
              <a:schemeClr val="accent1"/>
            </a:solidFill>
            <a:ln>
              <a:noFill/>
            </a:ln>
            <a:effectLst/>
          </c:spPr>
          <c:invertIfNegative val="0"/>
          <c:cat>
            <c:strRef>
              <c:f>'Pivot Table'!$B$14:$B$18</c:f>
              <c:strCache>
                <c:ptCount val="4"/>
                <c:pt idx="0">
                  <c:v>Card</c:v>
                </c:pt>
                <c:pt idx="1">
                  <c:v>Cash</c:v>
                </c:pt>
                <c:pt idx="2">
                  <c:v>NetBanking</c:v>
                </c:pt>
                <c:pt idx="3">
                  <c:v>UPI</c:v>
                </c:pt>
              </c:strCache>
            </c:strRef>
          </c:cat>
          <c:val>
            <c:numRef>
              <c:f>'Pivot Table'!$C$14:$C$18</c:f>
              <c:numCache>
                <c:formatCode>General</c:formatCode>
                <c:ptCount val="4"/>
                <c:pt idx="0">
                  <c:v>19421997</c:v>
                </c:pt>
                <c:pt idx="1">
                  <c:v>20971122</c:v>
                </c:pt>
                <c:pt idx="2">
                  <c:v>17709762</c:v>
                </c:pt>
                <c:pt idx="3">
                  <c:v>20078527</c:v>
                </c:pt>
              </c:numCache>
            </c:numRef>
          </c:val>
          <c:extLst>
            <c:ext xmlns:c16="http://schemas.microsoft.com/office/drawing/2014/chart" uri="{C3380CC4-5D6E-409C-BE32-E72D297353CC}">
              <c16:uniqueId val="{00000000-9B8B-4173-8FC1-0DF900F82026}"/>
            </c:ext>
          </c:extLst>
        </c:ser>
        <c:dLbls>
          <c:showLegendKey val="0"/>
          <c:showVal val="0"/>
          <c:showCatName val="0"/>
          <c:showSerName val="0"/>
          <c:showPercent val="0"/>
          <c:showBubbleSize val="0"/>
        </c:dLbls>
        <c:gapWidth val="182"/>
        <c:axId val="786646863"/>
        <c:axId val="786647343"/>
      </c:barChart>
      <c:catAx>
        <c:axId val="786646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647343"/>
        <c:crosses val="autoZero"/>
        <c:auto val="1"/>
        <c:lblAlgn val="ctr"/>
        <c:lblOffset val="100"/>
        <c:noMultiLvlLbl val="0"/>
      </c:catAx>
      <c:valAx>
        <c:axId val="786647343"/>
        <c:scaling>
          <c:orientation val="minMax"/>
        </c:scaling>
        <c:delete val="0"/>
        <c:axPos val="b"/>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646863"/>
        <c:crosses val="autoZero"/>
        <c:crossBetween val="between"/>
      </c:valAx>
      <c:spPr>
        <a:noFill/>
        <a:ln>
          <a:noFill/>
        </a:ln>
        <a:effectLst/>
      </c:spPr>
    </c:plotArea>
    <c:legend>
      <c:legendPos val="r"/>
      <c:layout>
        <c:manualLayout>
          <c:xMode val="edge"/>
          <c:yMode val="edge"/>
          <c:x val="0.62664807524059496"/>
          <c:y val="3.5219451735199761E-2"/>
          <c:w val="0.22658397911342873"/>
          <c:h val="0.217014192670360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Shopping Dataset Analysis.xlsx]Pivot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rgbClr val="C00000"/>
                </a:solidFill>
              </a:rPr>
              <a:t>Return</a:t>
            </a:r>
            <a:r>
              <a:rPr lang="en-US" sz="1100" b="1" baseline="0">
                <a:solidFill>
                  <a:srgbClr val="C00000"/>
                </a:solidFill>
              </a:rPr>
              <a:t> Analysis</a:t>
            </a:r>
            <a:endParaRPr lang="en-US" sz="1100" b="1">
              <a:solidFill>
                <a:srgbClr val="C00000"/>
              </a:solidFill>
            </a:endParaRPr>
          </a:p>
        </c:rich>
      </c:tx>
      <c:layout>
        <c:manualLayout>
          <c:xMode val="edge"/>
          <c:yMode val="edge"/>
          <c:x val="5.6743000874890641E-2"/>
          <c:y val="4.1666666666666664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42057602888471429"/>
          <c:y val="5.0910530482977036E-2"/>
          <c:w val="0.48591370558375635"/>
          <c:h val="0.90950118764845611"/>
        </c:manualLayout>
      </c:layout>
      <c:pieChart>
        <c:varyColors val="1"/>
        <c:ser>
          <c:idx val="0"/>
          <c:order val="0"/>
          <c:tx>
            <c:strRef>
              <c:f>'Pivot Table'!$G$13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1E-42FE-8DE2-829A4C2349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1E-42FE-8DE2-829A4C2349B6}"/>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1E-42FE-8DE2-829A4C2349B6}"/>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1E-42FE-8DE2-829A4C2349B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Table'!$F$14:$F$16</c:f>
              <c:strCache>
                <c:ptCount val="2"/>
                <c:pt idx="0">
                  <c:v>Not Returned</c:v>
                </c:pt>
                <c:pt idx="1">
                  <c:v>Returned</c:v>
                </c:pt>
              </c:strCache>
            </c:strRef>
          </c:cat>
          <c:val>
            <c:numRef>
              <c:f>'Pivot Table'!$G$14:$G$16</c:f>
              <c:numCache>
                <c:formatCode>General</c:formatCode>
                <c:ptCount val="2"/>
                <c:pt idx="0">
                  <c:v>514</c:v>
                </c:pt>
                <c:pt idx="1">
                  <c:v>486</c:v>
                </c:pt>
              </c:numCache>
            </c:numRef>
          </c:val>
          <c:extLst>
            <c:ext xmlns:c16="http://schemas.microsoft.com/office/drawing/2014/chart" uri="{C3380CC4-5D6E-409C-BE32-E72D297353CC}">
              <c16:uniqueId val="{00000004-B11E-42FE-8DE2-829A4C2349B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5.3577281266237661E-2"/>
          <c:y val="0.31438644397478821"/>
          <c:w val="0.32032288793850006"/>
          <c:h val="0.334937438045897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Shopping Dataset Analysis.xlsx]Pivot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rgbClr val="C00000"/>
                </a:solidFill>
              </a:rPr>
              <a:t>Discount</a:t>
            </a:r>
            <a:r>
              <a:rPr lang="en-US" sz="1100" b="1" baseline="0">
                <a:solidFill>
                  <a:srgbClr val="C00000"/>
                </a:solidFill>
              </a:rPr>
              <a:t> Average </a:t>
            </a:r>
            <a:endParaRPr lang="en-US" sz="1100" b="1">
              <a:solidFill>
                <a:srgbClr val="C00000"/>
              </a:solidFill>
            </a:endParaRPr>
          </a:p>
        </c:rich>
      </c:tx>
      <c:layout>
        <c:manualLayout>
          <c:xMode val="edge"/>
          <c:yMode val="edge"/>
          <c:x val="4.7E-2"/>
          <c:y val="6.9444444444444448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40312970253718283"/>
          <c:y val="0.10777588089099482"/>
          <c:w val="0.48035090148907267"/>
          <c:h val="0.84592769377279164"/>
        </c:manualLayout>
      </c:layout>
      <c:pieChart>
        <c:varyColors val="1"/>
        <c:ser>
          <c:idx val="0"/>
          <c:order val="0"/>
          <c:tx>
            <c:strRef>
              <c:f>'Pivot Table'!$K$14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A1-48AF-9FE5-880211A922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A1-48AF-9FE5-880211A922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A1-48AF-9FE5-880211A9223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Table'!$J$15:$J$18</c:f>
              <c:strCache>
                <c:ptCount val="3"/>
                <c:pt idx="0">
                  <c:v>Accessories</c:v>
                </c:pt>
                <c:pt idx="1">
                  <c:v>Electronics</c:v>
                </c:pt>
                <c:pt idx="2">
                  <c:v>Fashion</c:v>
                </c:pt>
              </c:strCache>
            </c:strRef>
          </c:cat>
          <c:val>
            <c:numRef>
              <c:f>'Pivot Table'!$K$15:$K$18</c:f>
              <c:numCache>
                <c:formatCode>0%</c:formatCode>
                <c:ptCount val="3"/>
                <c:pt idx="0">
                  <c:v>0.17594345296280564</c:v>
                </c:pt>
                <c:pt idx="1">
                  <c:v>0.17308428598324735</c:v>
                </c:pt>
                <c:pt idx="2">
                  <c:v>0.17153365249263772</c:v>
                </c:pt>
              </c:numCache>
            </c:numRef>
          </c:val>
          <c:extLst>
            <c:ext xmlns:c16="http://schemas.microsoft.com/office/drawing/2014/chart" uri="{C3380CC4-5D6E-409C-BE32-E72D297353CC}">
              <c16:uniqueId val="{00000006-C2A1-48AF-9FE5-880211A9223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4.3698969761743769E-2"/>
          <c:y val="0.37163282221301291"/>
          <c:w val="0.26670483710311832"/>
          <c:h val="0.37334332102292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Shopping Dataset Analysis.xlsx]Pivot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rgbClr val="C00000"/>
                </a:solidFill>
              </a:rPr>
              <a:t>Monthly</a:t>
            </a:r>
            <a:r>
              <a:rPr lang="en-US" sz="1100" b="1" baseline="0">
                <a:solidFill>
                  <a:srgbClr val="C00000"/>
                </a:solidFill>
              </a:rPr>
              <a:t> Sales Trend</a:t>
            </a:r>
            <a:endParaRPr lang="en-US" sz="1100" b="1">
              <a:solidFill>
                <a:srgbClr val="C00000"/>
              </a:solidFill>
            </a:endParaRPr>
          </a:p>
        </c:rich>
      </c:tx>
      <c:layout>
        <c:manualLayout>
          <c:xMode val="edge"/>
          <c:yMode val="edge"/>
          <c:x val="6.1111111111111109E-2"/>
          <c:y val="4.1666666666666664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hPercent val="100"/>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885457866153827E-2"/>
          <c:y val="0.21308034239188034"/>
          <c:w val="0.81713959142203996"/>
          <c:h val="0.60249125628892586"/>
        </c:manualLayout>
      </c:layout>
      <c:bar3DChart>
        <c:barDir val="col"/>
        <c:grouping val="standard"/>
        <c:varyColors val="0"/>
        <c:ser>
          <c:idx val="0"/>
          <c:order val="0"/>
          <c:tx>
            <c:strRef>
              <c:f>'Pivot Table'!$O$14</c:f>
              <c:strCache>
                <c:ptCount val="1"/>
                <c:pt idx="0">
                  <c:v>Total</c:v>
                </c:pt>
              </c:strCache>
            </c:strRef>
          </c:tx>
          <c:spPr>
            <a:solidFill>
              <a:schemeClr val="accent1"/>
            </a:solidFill>
            <a:ln>
              <a:noFill/>
            </a:ln>
            <a:effectLst/>
            <a:sp3d/>
          </c:spPr>
          <c:invertIfNegative val="0"/>
          <c:cat>
            <c:strRef>
              <c:f>'Pivot Table'!$N$15:$N$27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Table'!$O$15:$O$27</c:f>
              <c:numCache>
                <c:formatCode>General</c:formatCode>
                <c:ptCount val="12"/>
                <c:pt idx="0">
                  <c:v>5941187</c:v>
                </c:pt>
                <c:pt idx="1">
                  <c:v>6434381</c:v>
                </c:pt>
                <c:pt idx="2">
                  <c:v>7257561</c:v>
                </c:pt>
                <c:pt idx="3">
                  <c:v>5845654</c:v>
                </c:pt>
                <c:pt idx="4">
                  <c:v>6832407</c:v>
                </c:pt>
                <c:pt idx="5">
                  <c:v>6442679</c:v>
                </c:pt>
                <c:pt idx="6">
                  <c:v>7559886</c:v>
                </c:pt>
                <c:pt idx="7">
                  <c:v>6259636</c:v>
                </c:pt>
                <c:pt idx="8">
                  <c:v>5662652</c:v>
                </c:pt>
                <c:pt idx="9">
                  <c:v>6580893</c:v>
                </c:pt>
                <c:pt idx="10">
                  <c:v>6559214</c:v>
                </c:pt>
                <c:pt idx="11">
                  <c:v>6805258</c:v>
                </c:pt>
              </c:numCache>
            </c:numRef>
          </c:val>
          <c:extLst>
            <c:ext xmlns:c16="http://schemas.microsoft.com/office/drawing/2014/chart" uri="{C3380CC4-5D6E-409C-BE32-E72D297353CC}">
              <c16:uniqueId val="{00000000-CEB4-4FD5-918E-D9BA19D82E2D}"/>
            </c:ext>
          </c:extLst>
        </c:ser>
        <c:dLbls>
          <c:showLegendKey val="0"/>
          <c:showVal val="0"/>
          <c:showCatName val="0"/>
          <c:showSerName val="0"/>
          <c:showPercent val="0"/>
          <c:showBubbleSize val="0"/>
        </c:dLbls>
        <c:gapWidth val="150"/>
        <c:shape val="box"/>
        <c:axId val="693886543"/>
        <c:axId val="693887023"/>
        <c:axId val="1079732399"/>
      </c:bar3DChart>
      <c:catAx>
        <c:axId val="693886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887023"/>
        <c:crosses val="autoZero"/>
        <c:auto val="1"/>
        <c:lblAlgn val="ctr"/>
        <c:lblOffset val="100"/>
        <c:noMultiLvlLbl val="0"/>
      </c:catAx>
      <c:valAx>
        <c:axId val="693887023"/>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886543"/>
        <c:crosses val="autoZero"/>
        <c:crossBetween val="between"/>
      </c:valAx>
      <c:serAx>
        <c:axId val="107973239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887023"/>
        <c:crosses val="autoZero"/>
      </c:serAx>
      <c:spPr>
        <a:noFill/>
        <a:ln>
          <a:noFill/>
        </a:ln>
        <a:effectLst/>
      </c:spPr>
    </c:plotArea>
    <c:legend>
      <c:legendPos val="r"/>
      <c:layout>
        <c:manualLayout>
          <c:xMode val="edge"/>
          <c:yMode val="edge"/>
          <c:x val="0.54887029746281712"/>
          <c:y val="4.5265748031496071E-2"/>
          <c:w val="0.15112970253718286"/>
          <c:h val="8.73848060659084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Shopping Dataset Analysis.xlsx]Pivot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solidFill>
                  <a:srgbClr val="C00000"/>
                </a:solidFill>
              </a:rPr>
              <a:t>Profit</a:t>
            </a:r>
            <a:r>
              <a:rPr lang="en-IN" sz="1050" b="1" baseline="0">
                <a:solidFill>
                  <a:srgbClr val="C00000"/>
                </a:solidFill>
              </a:rPr>
              <a:t> vs. Sales Comoarision</a:t>
            </a:r>
            <a:endParaRPr lang="en-IN" sz="1050" b="1">
              <a:solidFill>
                <a:srgbClr val="C00000"/>
              </a:solidFill>
            </a:endParaRPr>
          </a:p>
        </c:rich>
      </c:tx>
      <c:layout>
        <c:manualLayout>
          <c:xMode val="edge"/>
          <c:yMode val="edge"/>
          <c:x val="3.7972222222222227E-2"/>
          <c:y val="2.7777777777777776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23891608143572"/>
          <c:y val="0.209851829162087"/>
          <c:w val="0.73486320966635932"/>
          <c:h val="0.64624167402415655"/>
        </c:manualLayout>
      </c:layout>
      <c:barChart>
        <c:barDir val="col"/>
        <c:grouping val="clustered"/>
        <c:varyColors val="0"/>
        <c:ser>
          <c:idx val="0"/>
          <c:order val="0"/>
          <c:tx>
            <c:strRef>
              <c:f>'Pivot Table'!$C$22</c:f>
              <c:strCache>
                <c:ptCount val="1"/>
                <c:pt idx="0">
                  <c:v>Sum of Total Amount</c:v>
                </c:pt>
              </c:strCache>
            </c:strRef>
          </c:tx>
          <c:spPr>
            <a:solidFill>
              <a:schemeClr val="accent1"/>
            </a:solidFill>
            <a:ln>
              <a:noFill/>
            </a:ln>
            <a:effectLst/>
          </c:spPr>
          <c:invertIfNegative val="0"/>
          <c:cat>
            <c:strRef>
              <c:f>'Pivot Table'!$B$23:$B$26</c:f>
              <c:strCache>
                <c:ptCount val="3"/>
                <c:pt idx="0">
                  <c:v>Accessories</c:v>
                </c:pt>
                <c:pt idx="1">
                  <c:v>Electronics</c:v>
                </c:pt>
                <c:pt idx="2">
                  <c:v>Fashion</c:v>
                </c:pt>
              </c:strCache>
            </c:strRef>
          </c:cat>
          <c:val>
            <c:numRef>
              <c:f>'Pivot Table'!$C$23:$C$26</c:f>
              <c:numCache>
                <c:formatCode>General</c:formatCode>
                <c:ptCount val="3"/>
                <c:pt idx="0">
                  <c:v>27473470</c:v>
                </c:pt>
                <c:pt idx="1">
                  <c:v>28103279</c:v>
                </c:pt>
                <c:pt idx="2">
                  <c:v>22604659</c:v>
                </c:pt>
              </c:numCache>
            </c:numRef>
          </c:val>
          <c:extLst>
            <c:ext xmlns:c16="http://schemas.microsoft.com/office/drawing/2014/chart" uri="{C3380CC4-5D6E-409C-BE32-E72D297353CC}">
              <c16:uniqueId val="{00000000-CDBE-4FB4-AE67-92800E26C378}"/>
            </c:ext>
          </c:extLst>
        </c:ser>
        <c:ser>
          <c:idx val="1"/>
          <c:order val="1"/>
          <c:tx>
            <c:strRef>
              <c:f>'Pivot Table'!$D$22</c:f>
              <c:strCache>
                <c:ptCount val="1"/>
                <c:pt idx="0">
                  <c:v>Sum of Profit</c:v>
                </c:pt>
              </c:strCache>
            </c:strRef>
          </c:tx>
          <c:spPr>
            <a:solidFill>
              <a:schemeClr val="accent2"/>
            </a:solidFill>
            <a:ln>
              <a:noFill/>
            </a:ln>
            <a:effectLst/>
          </c:spPr>
          <c:invertIfNegative val="0"/>
          <c:cat>
            <c:strRef>
              <c:f>'Pivot Table'!$B$23:$B$26</c:f>
              <c:strCache>
                <c:ptCount val="3"/>
                <c:pt idx="0">
                  <c:v>Accessories</c:v>
                </c:pt>
                <c:pt idx="1">
                  <c:v>Electronics</c:v>
                </c:pt>
                <c:pt idx="2">
                  <c:v>Fashion</c:v>
                </c:pt>
              </c:strCache>
            </c:strRef>
          </c:cat>
          <c:val>
            <c:numRef>
              <c:f>'Pivot Table'!$D$23:$D$26</c:f>
              <c:numCache>
                <c:formatCode>General</c:formatCode>
                <c:ptCount val="3"/>
                <c:pt idx="0">
                  <c:v>3462138.7700000023</c:v>
                </c:pt>
                <c:pt idx="1">
                  <c:v>3605909.5700000022</c:v>
                </c:pt>
                <c:pt idx="2">
                  <c:v>2997737.54</c:v>
                </c:pt>
              </c:numCache>
            </c:numRef>
          </c:val>
          <c:extLst>
            <c:ext xmlns:c16="http://schemas.microsoft.com/office/drawing/2014/chart" uri="{C3380CC4-5D6E-409C-BE32-E72D297353CC}">
              <c16:uniqueId val="{00000001-CDBE-4FB4-AE67-92800E26C378}"/>
            </c:ext>
          </c:extLst>
        </c:ser>
        <c:dLbls>
          <c:showLegendKey val="0"/>
          <c:showVal val="0"/>
          <c:showCatName val="0"/>
          <c:showSerName val="0"/>
          <c:showPercent val="0"/>
          <c:showBubbleSize val="0"/>
        </c:dLbls>
        <c:gapWidth val="219"/>
        <c:overlap val="-27"/>
        <c:axId val="877087471"/>
        <c:axId val="943973327"/>
      </c:barChart>
      <c:catAx>
        <c:axId val="87708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973327"/>
        <c:crosses val="autoZero"/>
        <c:auto val="1"/>
        <c:lblAlgn val="ctr"/>
        <c:lblOffset val="100"/>
        <c:noMultiLvlLbl val="0"/>
      </c:catAx>
      <c:valAx>
        <c:axId val="943973327"/>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87471"/>
        <c:crosses val="autoZero"/>
        <c:crossBetween val="between"/>
      </c:valAx>
      <c:spPr>
        <a:noFill/>
        <a:ln>
          <a:noFill/>
        </a:ln>
        <a:effectLst/>
      </c:spPr>
    </c:plotArea>
    <c:legend>
      <c:legendPos val="r"/>
      <c:layout>
        <c:manualLayout>
          <c:xMode val="edge"/>
          <c:yMode val="edge"/>
          <c:x val="0.66043159301033327"/>
          <c:y val="4.314191847300552E-3"/>
          <c:w val="0.33513897756023742"/>
          <c:h val="0.312069286533691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Shopping Dataset Analysis.xlsx]Pivot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rgbClr val="C00000"/>
                </a:solidFill>
              </a:rPr>
              <a:t>Category</a:t>
            </a:r>
            <a:r>
              <a:rPr lang="en-IN" sz="1100" b="1" baseline="0">
                <a:solidFill>
                  <a:srgbClr val="C00000"/>
                </a:solidFill>
              </a:rPr>
              <a:t> vs. City</a:t>
            </a:r>
            <a:endParaRPr lang="en-IN" sz="1100" b="1">
              <a:solidFill>
                <a:srgbClr val="C00000"/>
              </a:solidFill>
            </a:endParaRPr>
          </a:p>
        </c:rich>
      </c:tx>
      <c:layout>
        <c:manualLayout>
          <c:xMode val="edge"/>
          <c:yMode val="edge"/>
          <c:x val="0.15013188976377956"/>
          <c:y val="3.7037037037037035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95603674540682"/>
          <c:y val="0.11231559891491549"/>
          <c:w val="0.76047659698743086"/>
          <c:h val="0.7478774272712766"/>
        </c:manualLayout>
      </c:layout>
      <c:barChart>
        <c:barDir val="col"/>
        <c:grouping val="clustered"/>
        <c:varyColors val="0"/>
        <c:ser>
          <c:idx val="0"/>
          <c:order val="0"/>
          <c:tx>
            <c:strRef>
              <c:f>'Pivot Table'!$G$22:$G$23</c:f>
              <c:strCache>
                <c:ptCount val="1"/>
                <c:pt idx="0">
                  <c:v>Bangalore</c:v>
                </c:pt>
              </c:strCache>
            </c:strRef>
          </c:tx>
          <c:spPr>
            <a:solidFill>
              <a:schemeClr val="accent1"/>
            </a:solidFill>
            <a:ln>
              <a:noFill/>
            </a:ln>
            <a:effectLst/>
          </c:spPr>
          <c:invertIfNegative val="0"/>
          <c:cat>
            <c:strRef>
              <c:f>'Pivot Table'!$F$24:$F$27</c:f>
              <c:strCache>
                <c:ptCount val="3"/>
                <c:pt idx="0">
                  <c:v>Accessories</c:v>
                </c:pt>
                <c:pt idx="1">
                  <c:v>Electronics</c:v>
                </c:pt>
                <c:pt idx="2">
                  <c:v>Fashion</c:v>
                </c:pt>
              </c:strCache>
            </c:strRef>
          </c:cat>
          <c:val>
            <c:numRef>
              <c:f>'Pivot Table'!$G$24:$G$27</c:f>
              <c:numCache>
                <c:formatCode>General</c:formatCode>
                <c:ptCount val="3"/>
                <c:pt idx="0">
                  <c:v>5130999</c:v>
                </c:pt>
                <c:pt idx="1">
                  <c:v>5062701</c:v>
                </c:pt>
                <c:pt idx="2">
                  <c:v>4897061</c:v>
                </c:pt>
              </c:numCache>
            </c:numRef>
          </c:val>
          <c:extLst>
            <c:ext xmlns:c16="http://schemas.microsoft.com/office/drawing/2014/chart" uri="{C3380CC4-5D6E-409C-BE32-E72D297353CC}">
              <c16:uniqueId val="{00000000-138C-4E72-B570-72F4D2805AD9}"/>
            </c:ext>
          </c:extLst>
        </c:ser>
        <c:ser>
          <c:idx val="1"/>
          <c:order val="1"/>
          <c:tx>
            <c:strRef>
              <c:f>'Pivot Table'!$H$22:$H$23</c:f>
              <c:strCache>
                <c:ptCount val="1"/>
                <c:pt idx="0">
                  <c:v>Chennai</c:v>
                </c:pt>
              </c:strCache>
            </c:strRef>
          </c:tx>
          <c:spPr>
            <a:solidFill>
              <a:schemeClr val="accent2"/>
            </a:solidFill>
            <a:ln>
              <a:noFill/>
            </a:ln>
            <a:effectLst/>
          </c:spPr>
          <c:invertIfNegative val="0"/>
          <c:cat>
            <c:strRef>
              <c:f>'Pivot Table'!$F$24:$F$27</c:f>
              <c:strCache>
                <c:ptCount val="3"/>
                <c:pt idx="0">
                  <c:v>Accessories</c:v>
                </c:pt>
                <c:pt idx="1">
                  <c:v>Electronics</c:v>
                </c:pt>
                <c:pt idx="2">
                  <c:v>Fashion</c:v>
                </c:pt>
              </c:strCache>
            </c:strRef>
          </c:cat>
          <c:val>
            <c:numRef>
              <c:f>'Pivot Table'!$H$24:$H$27</c:f>
              <c:numCache>
                <c:formatCode>General</c:formatCode>
                <c:ptCount val="3"/>
                <c:pt idx="0">
                  <c:v>5364245</c:v>
                </c:pt>
                <c:pt idx="1">
                  <c:v>5826523</c:v>
                </c:pt>
                <c:pt idx="2">
                  <c:v>4073942</c:v>
                </c:pt>
              </c:numCache>
            </c:numRef>
          </c:val>
          <c:extLst>
            <c:ext xmlns:c16="http://schemas.microsoft.com/office/drawing/2014/chart" uri="{C3380CC4-5D6E-409C-BE32-E72D297353CC}">
              <c16:uniqueId val="{00000001-138C-4E72-B570-72F4D2805AD9}"/>
            </c:ext>
          </c:extLst>
        </c:ser>
        <c:ser>
          <c:idx val="2"/>
          <c:order val="2"/>
          <c:tx>
            <c:strRef>
              <c:f>'Pivot Table'!$I$22:$I$23</c:f>
              <c:strCache>
                <c:ptCount val="1"/>
                <c:pt idx="0">
                  <c:v>Delhi</c:v>
                </c:pt>
              </c:strCache>
            </c:strRef>
          </c:tx>
          <c:spPr>
            <a:solidFill>
              <a:schemeClr val="accent3"/>
            </a:solidFill>
            <a:ln>
              <a:noFill/>
            </a:ln>
            <a:effectLst/>
          </c:spPr>
          <c:invertIfNegative val="0"/>
          <c:cat>
            <c:strRef>
              <c:f>'Pivot Table'!$F$24:$F$27</c:f>
              <c:strCache>
                <c:ptCount val="3"/>
                <c:pt idx="0">
                  <c:v>Accessories</c:v>
                </c:pt>
                <c:pt idx="1">
                  <c:v>Electronics</c:v>
                </c:pt>
                <c:pt idx="2">
                  <c:v>Fashion</c:v>
                </c:pt>
              </c:strCache>
            </c:strRef>
          </c:cat>
          <c:val>
            <c:numRef>
              <c:f>'Pivot Table'!$I$24:$I$27</c:f>
              <c:numCache>
                <c:formatCode>General</c:formatCode>
                <c:ptCount val="3"/>
                <c:pt idx="0">
                  <c:v>5327457</c:v>
                </c:pt>
                <c:pt idx="1">
                  <c:v>6470009</c:v>
                </c:pt>
                <c:pt idx="2">
                  <c:v>5138417</c:v>
                </c:pt>
              </c:numCache>
            </c:numRef>
          </c:val>
          <c:extLst>
            <c:ext xmlns:c16="http://schemas.microsoft.com/office/drawing/2014/chart" uri="{C3380CC4-5D6E-409C-BE32-E72D297353CC}">
              <c16:uniqueId val="{00000002-138C-4E72-B570-72F4D2805AD9}"/>
            </c:ext>
          </c:extLst>
        </c:ser>
        <c:ser>
          <c:idx val="3"/>
          <c:order val="3"/>
          <c:tx>
            <c:strRef>
              <c:f>'Pivot Table'!$J$22:$J$23</c:f>
              <c:strCache>
                <c:ptCount val="1"/>
                <c:pt idx="0">
                  <c:v>Kolkata</c:v>
                </c:pt>
              </c:strCache>
            </c:strRef>
          </c:tx>
          <c:spPr>
            <a:solidFill>
              <a:schemeClr val="accent4"/>
            </a:solidFill>
            <a:ln>
              <a:noFill/>
            </a:ln>
            <a:effectLst/>
          </c:spPr>
          <c:invertIfNegative val="0"/>
          <c:cat>
            <c:strRef>
              <c:f>'Pivot Table'!$F$24:$F$27</c:f>
              <c:strCache>
                <c:ptCount val="3"/>
                <c:pt idx="0">
                  <c:v>Accessories</c:v>
                </c:pt>
                <c:pt idx="1">
                  <c:v>Electronics</c:v>
                </c:pt>
                <c:pt idx="2">
                  <c:v>Fashion</c:v>
                </c:pt>
              </c:strCache>
            </c:strRef>
          </c:cat>
          <c:val>
            <c:numRef>
              <c:f>'Pivot Table'!$J$24:$J$27</c:f>
              <c:numCache>
                <c:formatCode>General</c:formatCode>
                <c:ptCount val="3"/>
                <c:pt idx="0">
                  <c:v>6333797</c:v>
                </c:pt>
                <c:pt idx="1">
                  <c:v>5922636</c:v>
                </c:pt>
                <c:pt idx="2">
                  <c:v>4312549</c:v>
                </c:pt>
              </c:numCache>
            </c:numRef>
          </c:val>
          <c:extLst>
            <c:ext xmlns:c16="http://schemas.microsoft.com/office/drawing/2014/chart" uri="{C3380CC4-5D6E-409C-BE32-E72D297353CC}">
              <c16:uniqueId val="{00000003-138C-4E72-B570-72F4D2805AD9}"/>
            </c:ext>
          </c:extLst>
        </c:ser>
        <c:ser>
          <c:idx val="4"/>
          <c:order val="4"/>
          <c:tx>
            <c:strRef>
              <c:f>'Pivot Table'!$K$22:$K$23</c:f>
              <c:strCache>
                <c:ptCount val="1"/>
                <c:pt idx="0">
                  <c:v>Mumbai</c:v>
                </c:pt>
              </c:strCache>
            </c:strRef>
          </c:tx>
          <c:spPr>
            <a:solidFill>
              <a:schemeClr val="accent5"/>
            </a:solidFill>
            <a:ln>
              <a:noFill/>
            </a:ln>
            <a:effectLst/>
          </c:spPr>
          <c:invertIfNegative val="0"/>
          <c:cat>
            <c:strRef>
              <c:f>'Pivot Table'!$F$24:$F$27</c:f>
              <c:strCache>
                <c:ptCount val="3"/>
                <c:pt idx="0">
                  <c:v>Accessories</c:v>
                </c:pt>
                <c:pt idx="1">
                  <c:v>Electronics</c:v>
                </c:pt>
                <c:pt idx="2">
                  <c:v>Fashion</c:v>
                </c:pt>
              </c:strCache>
            </c:strRef>
          </c:cat>
          <c:val>
            <c:numRef>
              <c:f>'Pivot Table'!$K$24:$K$27</c:f>
              <c:numCache>
                <c:formatCode>General</c:formatCode>
                <c:ptCount val="3"/>
                <c:pt idx="0">
                  <c:v>5316972</c:v>
                </c:pt>
                <c:pt idx="1">
                  <c:v>4821410</c:v>
                </c:pt>
                <c:pt idx="2">
                  <c:v>4182690</c:v>
                </c:pt>
              </c:numCache>
            </c:numRef>
          </c:val>
          <c:extLst>
            <c:ext xmlns:c16="http://schemas.microsoft.com/office/drawing/2014/chart" uri="{C3380CC4-5D6E-409C-BE32-E72D297353CC}">
              <c16:uniqueId val="{00000004-138C-4E72-B570-72F4D2805AD9}"/>
            </c:ext>
          </c:extLst>
        </c:ser>
        <c:dLbls>
          <c:showLegendKey val="0"/>
          <c:showVal val="0"/>
          <c:showCatName val="0"/>
          <c:showSerName val="0"/>
          <c:showPercent val="0"/>
          <c:showBubbleSize val="0"/>
        </c:dLbls>
        <c:gapWidth val="219"/>
        <c:overlap val="-27"/>
        <c:axId val="1088460991"/>
        <c:axId val="1088465311"/>
      </c:barChart>
      <c:catAx>
        <c:axId val="108846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465311"/>
        <c:crosses val="autoZero"/>
        <c:auto val="1"/>
        <c:lblAlgn val="ctr"/>
        <c:lblOffset val="100"/>
        <c:noMultiLvlLbl val="0"/>
      </c:catAx>
      <c:valAx>
        <c:axId val="1088465311"/>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460991"/>
        <c:crosses val="autoZero"/>
        <c:crossBetween val="between"/>
      </c:valAx>
      <c:spPr>
        <a:noFill/>
        <a:ln>
          <a:noFill/>
        </a:ln>
        <a:effectLst/>
      </c:spPr>
    </c:plotArea>
    <c:legend>
      <c:legendPos val="r"/>
      <c:layout>
        <c:manualLayout>
          <c:xMode val="edge"/>
          <c:yMode val="edge"/>
          <c:x val="0.57556474190726159"/>
          <c:y val="4.179243219597549E-2"/>
          <c:w val="0.40499081364829392"/>
          <c:h val="0.223961067366579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487680</xdr:colOff>
      <xdr:row>1</xdr:row>
      <xdr:rowOff>129540</xdr:rowOff>
    </xdr:from>
    <xdr:to>
      <xdr:col>7</xdr:col>
      <xdr:colOff>327660</xdr:colOff>
      <xdr:row>10</xdr:row>
      <xdr:rowOff>45720</xdr:rowOff>
    </xdr:to>
    <xdr:graphicFrame macro="">
      <xdr:nvGraphicFramePr>
        <xdr:cNvPr id="2" name="Chart 1">
          <a:extLst>
            <a:ext uri="{FF2B5EF4-FFF2-40B4-BE49-F238E27FC236}">
              <a16:creationId xmlns:a16="http://schemas.microsoft.com/office/drawing/2014/main" id="{CBACC50F-3A97-4EDD-A94F-81513FB41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541020</xdr:colOff>
      <xdr:row>1</xdr:row>
      <xdr:rowOff>137160</xdr:rowOff>
    </xdr:from>
    <xdr:to>
      <xdr:col>12</xdr:col>
      <xdr:colOff>495300</xdr:colOff>
      <xdr:row>10</xdr:row>
      <xdr:rowOff>7620</xdr:rowOff>
    </xdr:to>
    <xdr:graphicFrame macro="">
      <xdr:nvGraphicFramePr>
        <xdr:cNvPr id="4" name="Chart 3">
          <a:extLst>
            <a:ext uri="{FF2B5EF4-FFF2-40B4-BE49-F238E27FC236}">
              <a16:creationId xmlns:a16="http://schemas.microsoft.com/office/drawing/2014/main" id="{BF0320F7-A39D-4F97-8141-2CFCA6165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129540</xdr:colOff>
      <xdr:row>1</xdr:row>
      <xdr:rowOff>129540</xdr:rowOff>
    </xdr:from>
    <xdr:to>
      <xdr:col>18</xdr:col>
      <xdr:colOff>76200</xdr:colOff>
      <xdr:row>10</xdr:row>
      <xdr:rowOff>76200</xdr:rowOff>
    </xdr:to>
    <xdr:graphicFrame macro="">
      <xdr:nvGraphicFramePr>
        <xdr:cNvPr id="6" name="Chart 5">
          <a:extLst>
            <a:ext uri="{FF2B5EF4-FFF2-40B4-BE49-F238E27FC236}">
              <a16:creationId xmlns:a16="http://schemas.microsoft.com/office/drawing/2014/main" id="{2B53E362-817B-4B3A-A956-8929AF95B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297180</xdr:colOff>
      <xdr:row>1</xdr:row>
      <xdr:rowOff>152400</xdr:rowOff>
    </xdr:from>
    <xdr:to>
      <xdr:col>23</xdr:col>
      <xdr:colOff>266700</xdr:colOff>
      <xdr:row>10</xdr:row>
      <xdr:rowOff>99060</xdr:rowOff>
    </xdr:to>
    <xdr:graphicFrame macro="">
      <xdr:nvGraphicFramePr>
        <xdr:cNvPr id="7" name="Chart 6">
          <a:extLst>
            <a:ext uri="{FF2B5EF4-FFF2-40B4-BE49-F238E27FC236}">
              <a16:creationId xmlns:a16="http://schemas.microsoft.com/office/drawing/2014/main" id="{CEB014B3-653B-4E29-A86A-6A7B8D0C9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502920</xdr:colOff>
      <xdr:row>11</xdr:row>
      <xdr:rowOff>22860</xdr:rowOff>
    </xdr:from>
    <xdr:to>
      <xdr:col>7</xdr:col>
      <xdr:colOff>335280</xdr:colOff>
      <xdr:row>19</xdr:row>
      <xdr:rowOff>144780</xdr:rowOff>
    </xdr:to>
    <xdr:graphicFrame macro="">
      <xdr:nvGraphicFramePr>
        <xdr:cNvPr id="8" name="Chart 7">
          <a:extLst>
            <a:ext uri="{FF2B5EF4-FFF2-40B4-BE49-F238E27FC236}">
              <a16:creationId xmlns:a16="http://schemas.microsoft.com/office/drawing/2014/main" id="{EBA559EA-DC69-4757-BC47-66DB941D0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601980</xdr:colOff>
      <xdr:row>11</xdr:row>
      <xdr:rowOff>15240</xdr:rowOff>
    </xdr:from>
    <xdr:to>
      <xdr:col>12</xdr:col>
      <xdr:colOff>556260</xdr:colOff>
      <xdr:row>19</xdr:row>
      <xdr:rowOff>156210</xdr:rowOff>
    </xdr:to>
    <xdr:graphicFrame macro="">
      <xdr:nvGraphicFramePr>
        <xdr:cNvPr id="9" name="Chart 8">
          <a:extLst>
            <a:ext uri="{FF2B5EF4-FFF2-40B4-BE49-F238E27FC236}">
              <a16:creationId xmlns:a16="http://schemas.microsoft.com/office/drawing/2014/main" id="{F92430A0-FFFE-4EED-BF35-E6F191281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190500</xdr:colOff>
      <xdr:row>11</xdr:row>
      <xdr:rowOff>30480</xdr:rowOff>
    </xdr:from>
    <xdr:to>
      <xdr:col>17</xdr:col>
      <xdr:colOff>502920</xdr:colOff>
      <xdr:row>19</xdr:row>
      <xdr:rowOff>160020</xdr:rowOff>
    </xdr:to>
    <xdr:graphicFrame macro="">
      <xdr:nvGraphicFramePr>
        <xdr:cNvPr id="10" name="Chart 9">
          <a:extLst>
            <a:ext uri="{FF2B5EF4-FFF2-40B4-BE49-F238E27FC236}">
              <a16:creationId xmlns:a16="http://schemas.microsoft.com/office/drawing/2014/main" id="{8BC82E76-88D8-4268-91B5-21F28FCAC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167640</xdr:colOff>
      <xdr:row>11</xdr:row>
      <xdr:rowOff>45720</xdr:rowOff>
    </xdr:from>
    <xdr:to>
      <xdr:col>23</xdr:col>
      <xdr:colOff>426720</xdr:colOff>
      <xdr:row>20</xdr:row>
      <xdr:rowOff>3810</xdr:rowOff>
    </xdr:to>
    <xdr:graphicFrame macro="">
      <xdr:nvGraphicFramePr>
        <xdr:cNvPr id="11" name="Chart 10">
          <a:extLst>
            <a:ext uri="{FF2B5EF4-FFF2-40B4-BE49-F238E27FC236}">
              <a16:creationId xmlns:a16="http://schemas.microsoft.com/office/drawing/2014/main" id="{81E59707-FCA8-4DA0-9438-69D7DEC00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396240</xdr:colOff>
      <xdr:row>20</xdr:row>
      <xdr:rowOff>144780</xdr:rowOff>
    </xdr:from>
    <xdr:to>
      <xdr:col>11</xdr:col>
      <xdr:colOff>228600</xdr:colOff>
      <xdr:row>29</xdr:row>
      <xdr:rowOff>163830</xdr:rowOff>
    </xdr:to>
    <xdr:graphicFrame macro="">
      <xdr:nvGraphicFramePr>
        <xdr:cNvPr id="12" name="Chart 11">
          <a:extLst>
            <a:ext uri="{FF2B5EF4-FFF2-40B4-BE49-F238E27FC236}">
              <a16:creationId xmlns:a16="http://schemas.microsoft.com/office/drawing/2014/main" id="{E3FFF4A2-067B-4D33-8A52-5B50C9B02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160020</xdr:colOff>
      <xdr:row>20</xdr:row>
      <xdr:rowOff>121920</xdr:rowOff>
    </xdr:from>
    <xdr:to>
      <xdr:col>21</xdr:col>
      <xdr:colOff>15240</xdr:colOff>
      <xdr:row>30</xdr:row>
      <xdr:rowOff>110490</xdr:rowOff>
    </xdr:to>
    <xdr:graphicFrame macro="">
      <xdr:nvGraphicFramePr>
        <xdr:cNvPr id="13" name="Chart 12">
          <a:extLst>
            <a:ext uri="{FF2B5EF4-FFF2-40B4-BE49-F238E27FC236}">
              <a16:creationId xmlns:a16="http://schemas.microsoft.com/office/drawing/2014/main" id="{3DBB5B02-D576-4915-B3E7-59A0ECAFF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83820</xdr:colOff>
      <xdr:row>2</xdr:row>
      <xdr:rowOff>76200</xdr:rowOff>
    </xdr:from>
    <xdr:to>
      <xdr:col>2</xdr:col>
      <xdr:colOff>358140</xdr:colOff>
      <xdr:row>10</xdr:row>
      <xdr:rowOff>53340</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0B11EB3D-B915-1484-A2DA-5791B3B2615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3820" y="624840"/>
              <a:ext cx="149352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11</xdr:row>
      <xdr:rowOff>152401</xdr:rowOff>
    </xdr:from>
    <xdr:to>
      <xdr:col>2</xdr:col>
      <xdr:colOff>327660</xdr:colOff>
      <xdr:row>18</xdr:row>
      <xdr:rowOff>22861</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730E8A27-CA70-38B4-0891-2D35BB6F87E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0" y="2346961"/>
              <a:ext cx="147066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19</xdr:row>
      <xdr:rowOff>15241</xdr:rowOff>
    </xdr:from>
    <xdr:to>
      <xdr:col>2</xdr:col>
      <xdr:colOff>327660</xdr:colOff>
      <xdr:row>25</xdr:row>
      <xdr:rowOff>129540</xdr:rowOff>
    </xdr:to>
    <mc:AlternateContent xmlns:mc="http://schemas.openxmlformats.org/markup-compatibility/2006" xmlns:a14="http://schemas.microsoft.com/office/drawing/2010/main">
      <mc:Choice Requires="a14">
        <xdr:graphicFrame macro="">
          <xdr:nvGraphicFramePr>
            <xdr:cNvPr id="16" name="Months (Order Date)">
              <a:extLst>
                <a:ext uri="{FF2B5EF4-FFF2-40B4-BE49-F238E27FC236}">
                  <a16:creationId xmlns:a16="http://schemas.microsoft.com/office/drawing/2014/main" id="{7B4B7AFB-9584-89F3-CE12-7A3DB50E43A6}"/>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76200" y="3672841"/>
              <a:ext cx="147066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IMA" refreshedDate="46102.968724421298" createdVersion="8" refreshedVersion="8" minRefreshableVersion="3" recordCount="1000" xr:uid="{47FA031A-C1EE-478C-A60D-A93FEE854700}">
  <cacheSource type="worksheet">
    <worksheetSource ref="A1:O1001" sheet="online shopping data"/>
  </cacheSource>
  <cacheFields count="16">
    <cacheField name="Order ID" numFmtId="0">
      <sharedItems containsSemiMixedTypes="0" containsString="0" containsNumber="1" containsInteger="1" minValue="1" maxValue="1000"/>
    </cacheField>
    <cacheField name="Customer ID" numFmtId="0">
      <sharedItems containsSemiMixedTypes="0" containsString="0" containsNumber="1" containsInteger="1" minValue="1005" maxValue="9998"/>
    </cacheField>
    <cacheField name="Product" numFmtId="0">
      <sharedItems count="6">
        <s v="Bag"/>
        <s v="Headphones"/>
        <s v="Phone"/>
        <s v="Shoes"/>
        <s v="Watch"/>
        <s v="Laptop"/>
      </sharedItems>
    </cacheField>
    <cacheField name="Category" numFmtId="0">
      <sharedItems count="3">
        <s v="Accessories"/>
        <s v="Electronics"/>
        <s v="Fashion"/>
      </sharedItems>
    </cacheField>
    <cacheField name="Price" numFmtId="0">
      <sharedItems containsSemiMixedTypes="0" containsString="0" containsNumber="1" containsInteger="1" minValue="568" maxValue="49908"/>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603" maxValue="249460"/>
    </cacheField>
    <cacheField name="Order Date" numFmtId="14">
      <sharedItems containsSemiMixedTypes="0" containsNonDate="0" containsDate="1" containsString="0" minDate="2024-01-01T00:00:00" maxDate="2025-01-01T00:00:00" count="342">
        <d v="2024-06-03T00:00:00"/>
        <d v="2024-03-21T00:00:00"/>
        <d v="2024-03-27T00:00:00"/>
        <d v="2024-08-20T00:00:00"/>
        <d v="2024-10-28T00:00:00"/>
        <d v="2024-02-16T00:00:00"/>
        <d v="2024-06-14T00:00:00"/>
        <d v="2024-07-11T00:00:00"/>
        <d v="2024-03-07T00:00:00"/>
        <d v="2024-05-27T00:00:00"/>
        <d v="2024-08-03T00:00:00"/>
        <d v="2024-09-13T00:00:00"/>
        <d v="2024-01-17T00:00:00"/>
        <d v="2024-01-23T00:00:00"/>
        <d v="2024-01-28T00:00:00"/>
        <d v="2024-12-06T00:00:00"/>
        <d v="2024-07-05T00:00:00"/>
        <d v="2024-08-15T00:00:00"/>
        <d v="2024-10-24T00:00:00"/>
        <d v="2024-12-11T00:00:00"/>
        <d v="2024-04-24T00:00:00"/>
        <d v="2024-07-15T00:00:00"/>
        <d v="2024-07-19T00:00:00"/>
        <d v="2024-11-25T00:00:00"/>
        <d v="2024-01-08T00:00:00"/>
        <d v="2024-03-03T00:00:00"/>
        <d v="2024-03-20T00:00:00"/>
        <d v="2024-12-08T00:00:00"/>
        <d v="2024-03-31T00:00:00"/>
        <d v="2024-01-27T00:00:00"/>
        <d v="2024-02-22T00:00:00"/>
        <d v="2024-05-31T00:00:00"/>
        <d v="2024-01-12T00:00:00"/>
        <d v="2024-04-14T00:00:00"/>
        <d v="2024-01-02T00:00:00"/>
        <d v="2024-10-01T00:00:00"/>
        <d v="2024-12-19T00:00:00"/>
        <d v="2024-04-26T00:00:00"/>
        <d v="2024-05-10T00:00:00"/>
        <d v="2024-02-15T00:00:00"/>
        <d v="2024-01-29T00:00:00"/>
        <d v="2024-10-27T00:00:00"/>
        <d v="2024-10-30T00:00:00"/>
        <d v="2024-02-03T00:00:00"/>
        <d v="2024-08-27T00:00:00"/>
        <d v="2024-06-10T00:00:00"/>
        <d v="2024-10-29T00:00:00"/>
        <d v="2024-11-02T00:00:00"/>
        <d v="2024-11-05T00:00:00"/>
        <d v="2024-09-11T00:00:00"/>
        <d v="2024-06-19T00:00:00"/>
        <d v="2024-02-20T00:00:00"/>
        <d v="2024-09-02T00:00:00"/>
        <d v="2024-12-14T00:00:00"/>
        <d v="2024-01-06T00:00:00"/>
        <d v="2024-01-22T00:00:00"/>
        <d v="2024-04-22T00:00:00"/>
        <d v="2024-07-16T00:00:00"/>
        <d v="2024-12-01T00:00:00"/>
        <d v="2024-06-29T00:00:00"/>
        <d v="2024-03-06T00:00:00"/>
        <d v="2024-02-04T00:00:00"/>
        <d v="2024-11-19T00:00:00"/>
        <d v="2024-11-08T00:00:00"/>
        <d v="2024-07-12T00:00:00"/>
        <d v="2024-11-06T00:00:00"/>
        <d v="2024-07-20T00:00:00"/>
        <d v="2024-01-21T00:00:00"/>
        <d v="2024-02-21T00:00:00"/>
        <d v="2024-07-25T00:00:00"/>
        <d v="2024-04-16T00:00:00"/>
        <d v="2024-07-28T00:00:00"/>
        <d v="2024-02-09T00:00:00"/>
        <d v="2024-02-29T00:00:00"/>
        <d v="2024-05-04T00:00:00"/>
        <d v="2024-05-24T00:00:00"/>
        <d v="2024-01-01T00:00:00"/>
        <d v="2024-06-07T00:00:00"/>
        <d v="2024-06-01T00:00:00"/>
        <d v="2024-10-10T00:00:00"/>
        <d v="2024-02-24T00:00:00"/>
        <d v="2024-04-09T00:00:00"/>
        <d v="2024-05-28T00:00:00"/>
        <d v="2024-06-06T00:00:00"/>
        <d v="2024-01-16T00:00:00"/>
        <d v="2024-04-06T00:00:00"/>
        <d v="2024-03-11T00:00:00"/>
        <d v="2024-10-14T00:00:00"/>
        <d v="2024-09-15T00:00:00"/>
        <d v="2024-12-07T00:00:00"/>
        <d v="2024-05-02T00:00:00"/>
        <d v="2024-06-11T00:00:00"/>
        <d v="2024-05-25T00:00:00"/>
        <d v="2024-10-19T00:00:00"/>
        <d v="2024-08-29T00:00:00"/>
        <d v="2024-04-01T00:00:00"/>
        <d v="2024-09-08T00:00:00"/>
        <d v="2024-12-13T00:00:00"/>
        <d v="2024-09-27T00:00:00"/>
        <d v="2024-02-06T00:00:00"/>
        <d v="2024-09-18T00:00:00"/>
        <d v="2024-04-11T00:00:00"/>
        <d v="2024-07-01T00:00:00"/>
        <d v="2024-11-21T00:00:00"/>
        <d v="2024-12-20T00:00:00"/>
        <d v="2024-02-12T00:00:00"/>
        <d v="2024-09-10T00:00:00"/>
        <d v="2024-08-04T00:00:00"/>
        <d v="2024-08-31T00:00:00"/>
        <d v="2024-12-23T00:00:00"/>
        <d v="2024-08-05T00:00:00"/>
        <d v="2024-06-09T00:00:00"/>
        <d v="2024-11-04T00:00:00"/>
        <d v="2024-07-21T00:00:00"/>
        <d v="2024-09-16T00:00:00"/>
        <d v="2024-12-15T00:00:00"/>
        <d v="2024-04-10T00:00:00"/>
        <d v="2024-11-22T00:00:00"/>
        <d v="2024-04-12T00:00:00"/>
        <d v="2024-03-14T00:00:00"/>
        <d v="2024-07-10T00:00:00"/>
        <d v="2024-01-14T00:00:00"/>
        <d v="2024-07-06T00:00:00"/>
        <d v="2024-09-22T00:00:00"/>
        <d v="2024-02-14T00:00:00"/>
        <d v="2024-03-05T00:00:00"/>
        <d v="2024-06-28T00:00:00"/>
        <d v="2024-04-18T00:00:00"/>
        <d v="2024-09-17T00:00:00"/>
        <d v="2024-02-05T00:00:00"/>
        <d v="2024-06-26T00:00:00"/>
        <d v="2024-11-03T00:00:00"/>
        <d v="2024-07-31T00:00:00"/>
        <d v="2024-03-19T00:00:00"/>
        <d v="2024-01-05T00:00:00"/>
        <d v="2024-03-30T00:00:00"/>
        <d v="2024-02-19T00:00:00"/>
        <d v="2024-12-03T00:00:00"/>
        <d v="2024-09-29T00:00:00"/>
        <d v="2024-05-11T00:00:00"/>
        <d v="2024-05-13T00:00:00"/>
        <d v="2024-07-03T00:00:00"/>
        <d v="2024-08-23T00:00:00"/>
        <d v="2024-09-07T00:00:00"/>
        <d v="2024-02-26T00:00:00"/>
        <d v="2024-12-29T00:00:00"/>
        <d v="2024-09-09T00:00:00"/>
        <d v="2024-02-13T00:00:00"/>
        <d v="2024-11-11T00:00:00"/>
        <d v="2024-05-30T00:00:00"/>
        <d v="2024-12-05T00:00:00"/>
        <d v="2024-01-09T00:00:00"/>
        <d v="2024-11-10T00:00:00"/>
        <d v="2024-03-10T00:00:00"/>
        <d v="2024-02-23T00:00:00"/>
        <d v="2024-12-28T00:00:00"/>
        <d v="2024-12-21T00:00:00"/>
        <d v="2024-11-26T00:00:00"/>
        <d v="2024-11-16T00:00:00"/>
        <d v="2024-10-15T00:00:00"/>
        <d v="2024-08-10T00:00:00"/>
        <d v="2024-07-26T00:00:00"/>
        <d v="2024-09-26T00:00:00"/>
        <d v="2024-03-22T00:00:00"/>
        <d v="2024-03-04T00:00:00"/>
        <d v="2024-09-25T00:00:00"/>
        <d v="2024-05-05T00:00:00"/>
        <d v="2024-11-30T00:00:00"/>
        <d v="2024-03-08T00:00:00"/>
        <d v="2024-08-18T00:00:00"/>
        <d v="2024-06-20T00:00:00"/>
        <d v="2024-12-24T00:00:00"/>
        <d v="2024-10-20T00:00:00"/>
        <d v="2024-06-30T00:00:00"/>
        <d v="2024-10-25T00:00:00"/>
        <d v="2024-05-19T00:00:00"/>
        <d v="2024-10-16T00:00:00"/>
        <d v="2024-04-17T00:00:00"/>
        <d v="2024-04-13T00:00:00"/>
        <d v="2024-05-23T00:00:00"/>
        <d v="2024-09-14T00:00:00"/>
        <d v="2024-10-02T00:00:00"/>
        <d v="2024-06-05T00:00:00"/>
        <d v="2024-07-18T00:00:00"/>
        <d v="2024-08-11T00:00:00"/>
        <d v="2024-08-13T00:00:00"/>
        <d v="2024-07-23T00:00:00"/>
        <d v="2024-06-17T00:00:00"/>
        <d v="2024-11-09T00:00:00"/>
        <d v="2024-04-25T00:00:00"/>
        <d v="2024-05-20T00:00:00"/>
        <d v="2024-12-22T00:00:00"/>
        <d v="2024-08-14T00:00:00"/>
        <d v="2024-12-30T00:00:00"/>
        <d v="2024-09-05T00:00:00"/>
        <d v="2024-07-14T00:00:00"/>
        <d v="2024-05-22T00:00:00"/>
        <d v="2024-02-07T00:00:00"/>
        <d v="2024-11-13T00:00:00"/>
        <d v="2024-01-07T00:00:00"/>
        <d v="2024-04-28T00:00:00"/>
        <d v="2024-10-04T00:00:00"/>
        <d v="2024-11-07T00:00:00"/>
        <d v="2024-08-02T00:00:00"/>
        <d v="2024-06-12T00:00:00"/>
        <d v="2024-08-19T00:00:00"/>
        <d v="2024-11-15T00:00:00"/>
        <d v="2024-09-28T00:00:00"/>
        <d v="2024-06-15T00:00:00"/>
        <d v="2024-08-01T00:00:00"/>
        <d v="2024-07-07T00:00:00"/>
        <d v="2024-09-04T00:00:00"/>
        <d v="2024-09-03T00:00:00"/>
        <d v="2024-03-24T00:00:00"/>
        <d v="2024-02-18T00:00:00"/>
        <d v="2024-06-16T00:00:00"/>
        <d v="2024-06-25T00:00:00"/>
        <d v="2024-07-30T00:00:00"/>
        <d v="2024-07-17T00:00:00"/>
        <d v="2024-10-07T00:00:00"/>
        <d v="2024-01-10T00:00:00"/>
        <d v="2024-11-17T00:00:00"/>
        <d v="2024-01-24T00:00:00"/>
        <d v="2024-11-29T00:00:00"/>
        <d v="2024-03-17T00:00:00"/>
        <d v="2024-07-04T00:00:00"/>
        <d v="2024-07-13T00:00:00"/>
        <d v="2024-09-30T00:00:00"/>
        <d v="2024-10-11T00:00:00"/>
        <d v="2024-02-08T00:00:00"/>
        <d v="2024-05-09T00:00:00"/>
        <d v="2024-01-11T00:00:00"/>
        <d v="2024-08-30T00:00:00"/>
        <d v="2024-05-18T00:00:00"/>
        <d v="2024-07-24T00:00:00"/>
        <d v="2024-10-12T00:00:00"/>
        <d v="2024-08-25T00:00:00"/>
        <d v="2024-09-23T00:00:00"/>
        <d v="2024-03-28T00:00:00"/>
        <d v="2024-12-02T00:00:00"/>
        <d v="2024-04-29T00:00:00"/>
        <d v="2024-05-21T00:00:00"/>
        <d v="2024-07-22T00:00:00"/>
        <d v="2024-06-13T00:00:00"/>
        <d v="2024-08-22T00:00:00"/>
        <d v="2024-12-09T00:00:00"/>
        <d v="2024-03-23T00:00:00"/>
        <d v="2024-11-20T00:00:00"/>
        <d v="2024-03-18T00:00:00"/>
        <d v="2024-02-11T00:00:00"/>
        <d v="2024-12-18T00:00:00"/>
        <d v="2024-08-24T00:00:00"/>
        <d v="2024-10-05T00:00:00"/>
        <d v="2024-04-07T00:00:00"/>
        <d v="2024-04-05T00:00:00"/>
        <d v="2024-09-12T00:00:00"/>
        <d v="2024-12-04T00:00:00"/>
        <d v="2024-11-14T00:00:00"/>
        <d v="2024-01-26T00:00:00"/>
        <d v="2024-06-22T00:00:00"/>
        <d v="2024-01-19T00:00:00"/>
        <d v="2024-05-16T00:00:00"/>
        <d v="2024-01-18T00:00:00"/>
        <d v="2024-03-13T00:00:00"/>
        <d v="2024-01-25T00:00:00"/>
        <d v="2024-05-03T00:00:00"/>
        <d v="2024-01-30T00:00:00"/>
        <d v="2024-12-27T00:00:00"/>
        <d v="2024-08-06T00:00:00"/>
        <d v="2024-11-12T00:00:00"/>
        <d v="2024-05-01T00:00:00"/>
        <d v="2024-03-15T00:00:00"/>
        <d v="2024-03-12T00:00:00"/>
        <d v="2024-02-27T00:00:00"/>
        <d v="2024-05-26T00:00:00"/>
        <d v="2024-10-18T00:00:00"/>
        <d v="2024-07-09T00:00:00"/>
        <d v="2024-08-07T00:00:00"/>
        <d v="2024-03-16T00:00:00"/>
        <d v="2024-09-24T00:00:00"/>
        <d v="2024-02-02T00:00:00"/>
        <d v="2024-08-08T00:00:00"/>
        <d v="2024-08-28T00:00:00"/>
        <d v="2024-11-27T00:00:00"/>
        <d v="2024-10-13T00:00:00"/>
        <d v="2024-04-21T00:00:00"/>
        <d v="2024-05-29T00:00:00"/>
        <d v="2024-09-19T00:00:00"/>
        <d v="2024-10-06T00:00:00"/>
        <d v="2024-12-25T00:00:00"/>
        <d v="2024-03-26T00:00:00"/>
        <d v="2024-10-26T00:00:00"/>
        <d v="2024-12-26T00:00:00"/>
        <d v="2024-01-15T00:00:00"/>
        <d v="2024-04-19T00:00:00"/>
        <d v="2024-06-04T00:00:00"/>
        <d v="2024-08-17T00:00:00"/>
        <d v="2024-02-25T00:00:00"/>
        <d v="2024-09-20T00:00:00"/>
        <d v="2024-10-31T00:00:00"/>
        <d v="2024-08-09T00:00:00"/>
        <d v="2024-05-08T00:00:00"/>
        <d v="2024-05-17T00:00:00"/>
        <d v="2024-04-15T00:00:00"/>
        <d v="2024-03-09T00:00:00"/>
        <d v="2024-06-24T00:00:00"/>
        <d v="2024-03-02T00:00:00"/>
        <d v="2024-04-04T00:00:00"/>
        <d v="2024-10-03T00:00:00"/>
        <d v="2024-10-17T00:00:00"/>
        <d v="2024-11-28T00:00:00"/>
        <d v="2024-04-30T00:00:00"/>
        <d v="2024-06-21T00:00:00"/>
        <d v="2024-06-27T00:00:00"/>
        <d v="2024-02-17T00:00:00"/>
        <d v="2024-12-31T00:00:00"/>
        <d v="2024-05-14T00:00:00"/>
        <d v="2024-03-29T00:00:00"/>
        <d v="2024-11-18T00:00:00"/>
        <d v="2024-05-12T00:00:00"/>
        <d v="2024-10-09T00:00:00"/>
        <d v="2024-12-10T00:00:00"/>
        <d v="2024-01-04T00:00:00"/>
        <d v="2024-03-01T00:00:00"/>
        <d v="2024-09-01T00:00:00"/>
        <d v="2024-02-01T00:00:00"/>
        <d v="2024-02-28T00:00:00"/>
        <d v="2024-11-01T00:00:00"/>
        <d v="2024-05-06T00:00:00"/>
        <d v="2024-08-12T00:00:00"/>
        <d v="2024-04-02T00:00:00"/>
        <d v="2024-01-20T00:00:00"/>
        <d v="2024-04-03T00:00:00"/>
        <d v="2024-05-15T00:00:00"/>
        <d v="2024-01-03T00:00:00"/>
        <d v="2024-08-16T00:00:00"/>
        <d v="2024-06-18T00:00:00"/>
        <d v="2024-04-27T00:00:00"/>
        <d v="2024-06-08T00:00:00"/>
        <d v="2024-06-23T00:00:00"/>
        <d v="2024-10-08T00:00:00"/>
        <d v="2024-09-21T00:00:00"/>
      </sharedItems>
      <fieldGroup par="15"/>
    </cacheField>
    <cacheField name="Payment Method" numFmtId="0">
      <sharedItems count="4">
        <s v="Card"/>
        <s v="NetBanking"/>
        <s v="UPI"/>
        <s v="Cash"/>
      </sharedItems>
    </cacheField>
    <cacheField name="City" numFmtId="0">
      <sharedItems count="5">
        <s v="Chennai"/>
        <s v="Mumbai"/>
        <s v="Delhi"/>
        <s v="Bangalore"/>
        <s v="Kolkata"/>
      </sharedItems>
    </cacheField>
    <cacheField name="Delivery Status" numFmtId="0">
      <sharedItems/>
    </cacheField>
    <cacheField name="Rating" numFmtId="0">
      <sharedItems containsSemiMixedTypes="0" containsString="0" containsNumber="1" minValue="1" maxValue="5"/>
    </cacheField>
    <cacheField name="Discount" numFmtId="9">
      <sharedItems containsSemiMixedTypes="0" containsString="0" containsNumber="1" minValue="5.0205981493011573E-2" maxValue="0.29998947506906987"/>
    </cacheField>
    <cacheField name="Profit" numFmtId="0">
      <sharedItems containsSemiMixedTypes="0" containsString="0" containsNumber="1" minValue="0.96" maxValue="62243.6"/>
    </cacheField>
    <cacheField name="Return Status" numFmtId="0">
      <sharedItems count="2">
        <s v="Not Returned"/>
        <s v="Returned"/>
      </sharedItems>
    </cacheField>
    <cacheField name="Months (Order Date)" numFmtId="0" databaseField="0">
      <fieldGroup base="7">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2011283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8575"/>
    <x v="0"/>
    <x v="0"/>
    <n v="40335"/>
    <n v="4"/>
    <n v="161340"/>
    <x v="0"/>
    <x v="0"/>
    <x v="0"/>
    <s v="Pending"/>
    <n v="3"/>
    <n v="0.21698388496343127"/>
    <n v="13393.82"/>
    <x v="0"/>
  </r>
  <r>
    <n v="2"/>
    <n v="4227"/>
    <x v="1"/>
    <x v="1"/>
    <n v="13653"/>
    <n v="4"/>
    <n v="54612"/>
    <x v="1"/>
    <x v="0"/>
    <x v="1"/>
    <s v="Pending"/>
    <n v="3.5"/>
    <n v="0.26642020068849337"/>
    <n v="1833.86"/>
    <x v="1"/>
  </r>
  <r>
    <n v="3"/>
    <n v="9934"/>
    <x v="2"/>
    <x v="1"/>
    <n v="38082"/>
    <n v="1"/>
    <n v="38082"/>
    <x v="2"/>
    <x v="0"/>
    <x v="1"/>
    <s v="Delivered"/>
    <n v="4.2"/>
    <n v="0.19585315897274302"/>
    <n v="3966.12"/>
    <x v="0"/>
  </r>
  <r>
    <n v="4"/>
    <n v="8854"/>
    <x v="2"/>
    <x v="1"/>
    <n v="22294"/>
    <n v="1"/>
    <n v="22294"/>
    <x v="3"/>
    <x v="1"/>
    <x v="2"/>
    <s v="Cancelled"/>
    <n v="1.8"/>
    <n v="6.4998205795281233E-2"/>
    <n v="5239.13"/>
    <x v="0"/>
  </r>
  <r>
    <n v="5"/>
    <n v="5330"/>
    <x v="3"/>
    <x v="2"/>
    <n v="8165"/>
    <n v="4"/>
    <n v="32660"/>
    <x v="4"/>
    <x v="2"/>
    <x v="3"/>
    <s v="Delivered"/>
    <n v="2.2000000000000002"/>
    <n v="8.8939681567666865E-2"/>
    <n v="6893.23"/>
    <x v="1"/>
  </r>
  <r>
    <n v="6"/>
    <n v="6195"/>
    <x v="4"/>
    <x v="0"/>
    <n v="37080"/>
    <n v="5"/>
    <n v="185400"/>
    <x v="5"/>
    <x v="1"/>
    <x v="1"/>
    <s v="Delivered"/>
    <n v="4.0999999999999996"/>
    <n v="0.2791309600862999"/>
    <n v="3869.12"/>
    <x v="0"/>
  </r>
  <r>
    <n v="7"/>
    <n v="3024"/>
    <x v="3"/>
    <x v="2"/>
    <n v="27641"/>
    <n v="2"/>
    <n v="55282"/>
    <x v="6"/>
    <x v="3"/>
    <x v="2"/>
    <s v="Delivered"/>
    <n v="2.5"/>
    <n v="0.26843981766216851"/>
    <n v="1744.71"/>
    <x v="1"/>
  </r>
  <r>
    <n v="8"/>
    <n v="9080"/>
    <x v="3"/>
    <x v="2"/>
    <n v="35323"/>
    <n v="5"/>
    <n v="176615"/>
    <x v="7"/>
    <x v="3"/>
    <x v="1"/>
    <s v="Pending"/>
    <n v="4.9000000000000004"/>
    <n v="0.2178510319055573"/>
    <n v="14508.74"/>
    <x v="1"/>
  </r>
  <r>
    <n v="9"/>
    <n v="3049"/>
    <x v="5"/>
    <x v="1"/>
    <n v="48951"/>
    <n v="4"/>
    <n v="195804"/>
    <x v="8"/>
    <x v="3"/>
    <x v="0"/>
    <s v="Cancelled"/>
    <n v="2.9"/>
    <n v="0.17041567077281364"/>
    <n v="25373.13"/>
    <x v="1"/>
  </r>
  <r>
    <n v="10"/>
    <n v="2953"/>
    <x v="4"/>
    <x v="0"/>
    <n v="3128"/>
    <n v="4"/>
    <n v="12512"/>
    <x v="9"/>
    <x v="3"/>
    <x v="2"/>
    <s v="Cancelled"/>
    <n v="1.8"/>
    <n v="0.13069453324808183"/>
    <n v="2118.35"/>
    <x v="0"/>
  </r>
  <r>
    <n v="11"/>
    <n v="6860"/>
    <x v="4"/>
    <x v="0"/>
    <n v="26619"/>
    <n v="3"/>
    <n v="79857"/>
    <x v="10"/>
    <x v="1"/>
    <x v="3"/>
    <s v="Pending"/>
    <n v="4.5"/>
    <n v="5.2375746647131745E-2"/>
    <n v="19774.53"/>
    <x v="0"/>
  </r>
  <r>
    <n v="12"/>
    <n v="4368"/>
    <x v="2"/>
    <x v="1"/>
    <n v="35187"/>
    <n v="1"/>
    <n v="35187"/>
    <x v="11"/>
    <x v="0"/>
    <x v="0"/>
    <s v="Delivered"/>
    <n v="1.4"/>
    <n v="0.21977207491403075"/>
    <n v="2822.98"/>
    <x v="0"/>
  </r>
  <r>
    <n v="13"/>
    <n v="1500"/>
    <x v="1"/>
    <x v="1"/>
    <n v="45423"/>
    <n v="3"/>
    <n v="136269"/>
    <x v="12"/>
    <x v="3"/>
    <x v="4"/>
    <s v="Pending"/>
    <n v="4.7"/>
    <n v="0.19157181750801722"/>
    <n v="14775.4"/>
    <x v="1"/>
  </r>
  <r>
    <n v="14"/>
    <n v="1090"/>
    <x v="5"/>
    <x v="1"/>
    <n v="36008"/>
    <n v="4"/>
    <n v="144032"/>
    <x v="13"/>
    <x v="3"/>
    <x v="3"/>
    <s v="Pending"/>
    <n v="1.9"/>
    <n v="0.23234954732281712"/>
    <n v="9743.83"/>
    <x v="1"/>
  </r>
  <r>
    <n v="15"/>
    <n v="7938"/>
    <x v="1"/>
    <x v="1"/>
    <n v="32798"/>
    <n v="3"/>
    <n v="98394"/>
    <x v="14"/>
    <x v="0"/>
    <x v="3"/>
    <s v="Pending"/>
    <n v="2.5"/>
    <n v="0.20979653230888062"/>
    <n v="8875.48"/>
    <x v="0"/>
  </r>
  <r>
    <n v="16"/>
    <n v="1412"/>
    <x v="0"/>
    <x v="0"/>
    <n v="33283"/>
    <n v="4"/>
    <n v="133132"/>
    <x v="15"/>
    <x v="1"/>
    <x v="4"/>
    <s v="Pending"/>
    <n v="3.8"/>
    <n v="5.8615809872908091E-2"/>
    <n v="32135.96"/>
    <x v="0"/>
  </r>
  <r>
    <n v="17"/>
    <n v="5651"/>
    <x v="1"/>
    <x v="1"/>
    <n v="34075"/>
    <n v="2"/>
    <n v="68150"/>
    <x v="16"/>
    <x v="1"/>
    <x v="3"/>
    <s v="Delivered"/>
    <n v="3.3"/>
    <n v="0.1654261188554659"/>
    <n v="9171.2099999999991"/>
    <x v="1"/>
  </r>
  <r>
    <n v="18"/>
    <n v="3930"/>
    <x v="5"/>
    <x v="2"/>
    <n v="48707"/>
    <n v="2"/>
    <n v="97414"/>
    <x v="17"/>
    <x v="1"/>
    <x v="2"/>
    <s v="Delivered"/>
    <n v="2.7"/>
    <n v="0.20223982179152897"/>
    <n v="9523.2099999999991"/>
    <x v="1"/>
  </r>
  <r>
    <n v="19"/>
    <n v="1874"/>
    <x v="2"/>
    <x v="1"/>
    <n v="19263"/>
    <n v="4"/>
    <n v="77052"/>
    <x v="18"/>
    <x v="2"/>
    <x v="4"/>
    <s v="Cancelled"/>
    <n v="3.2"/>
    <n v="0.19761446815137829"/>
    <n v="7889.01"/>
    <x v="0"/>
  </r>
  <r>
    <n v="20"/>
    <n v="6549"/>
    <x v="0"/>
    <x v="0"/>
    <n v="5900"/>
    <n v="2"/>
    <n v="11800"/>
    <x v="19"/>
    <x v="2"/>
    <x v="2"/>
    <s v="Pending"/>
    <n v="1.3"/>
    <n v="8.730508474576272E-2"/>
    <n v="2509.8000000000002"/>
    <x v="1"/>
  </r>
  <r>
    <n v="21"/>
    <n v="6944"/>
    <x v="1"/>
    <x v="1"/>
    <n v="26294"/>
    <n v="1"/>
    <n v="26294"/>
    <x v="20"/>
    <x v="2"/>
    <x v="3"/>
    <s v="Cancelled"/>
    <n v="2.5"/>
    <n v="0.25403095763292005"/>
    <n v="1208.71"/>
    <x v="0"/>
  </r>
  <r>
    <n v="22"/>
    <n v="1338"/>
    <x v="2"/>
    <x v="0"/>
    <n v="16379"/>
    <n v="3"/>
    <n v="49137"/>
    <x v="21"/>
    <x v="2"/>
    <x v="0"/>
    <s v="Pending"/>
    <n v="2"/>
    <n v="7.5739259621059485E-2"/>
    <n v="11019.5"/>
    <x v="0"/>
  </r>
  <r>
    <n v="23"/>
    <n v="3341"/>
    <x v="0"/>
    <x v="1"/>
    <n v="36277"/>
    <n v="3"/>
    <n v="108831"/>
    <x v="8"/>
    <x v="0"/>
    <x v="0"/>
    <s v="Delivered"/>
    <n v="1.4"/>
    <n v="0.20919131497459365"/>
    <n v="9882.7999999999993"/>
    <x v="1"/>
  </r>
  <r>
    <n v="24"/>
    <n v="7049"/>
    <x v="2"/>
    <x v="0"/>
    <n v="31725"/>
    <n v="1"/>
    <n v="31725"/>
    <x v="22"/>
    <x v="2"/>
    <x v="0"/>
    <s v="Cancelled"/>
    <n v="2.9"/>
    <n v="0.15547927501970055"/>
    <n v="4584.92"/>
    <x v="1"/>
  </r>
  <r>
    <n v="25"/>
    <n v="4125"/>
    <x v="5"/>
    <x v="1"/>
    <n v="13903"/>
    <n v="2"/>
    <n v="27806"/>
    <x v="23"/>
    <x v="3"/>
    <x v="4"/>
    <s v="Delivered"/>
    <n v="4.0999999999999996"/>
    <n v="7.4839243328777963E-2"/>
    <n v="6260.82"/>
    <x v="0"/>
  </r>
  <r>
    <n v="26"/>
    <n v="4437"/>
    <x v="5"/>
    <x v="2"/>
    <n v="30640"/>
    <n v="2"/>
    <n v="61280"/>
    <x v="24"/>
    <x v="3"/>
    <x v="3"/>
    <s v="Pending"/>
    <n v="1.4"/>
    <n v="0.15346997389033942"/>
    <n v="8979.36"/>
    <x v="1"/>
  </r>
  <r>
    <n v="27"/>
    <n v="9917"/>
    <x v="4"/>
    <x v="0"/>
    <n v="16098"/>
    <n v="2"/>
    <n v="32196"/>
    <x v="25"/>
    <x v="2"/>
    <x v="4"/>
    <s v="Pending"/>
    <n v="1.2"/>
    <n v="0.26356348614734754"/>
    <n v="1173.1099999999999"/>
    <x v="1"/>
  </r>
  <r>
    <n v="28"/>
    <n v="8420"/>
    <x v="4"/>
    <x v="1"/>
    <n v="10448"/>
    <n v="1"/>
    <n v="10448"/>
    <x v="26"/>
    <x v="1"/>
    <x v="3"/>
    <s v="Delivered"/>
    <n v="1.2"/>
    <n v="0.15424674578866768"/>
    <n v="1522.83"/>
    <x v="0"/>
  </r>
  <r>
    <n v="29"/>
    <n v="9302"/>
    <x v="4"/>
    <x v="2"/>
    <n v="8942"/>
    <n v="3"/>
    <n v="26826"/>
    <x v="27"/>
    <x v="2"/>
    <x v="0"/>
    <s v="Delivered"/>
    <n v="1.7"/>
    <n v="0.23416237978080967"/>
    <n v="1766.16"/>
    <x v="0"/>
  </r>
  <r>
    <n v="30"/>
    <n v="4517"/>
    <x v="5"/>
    <x v="1"/>
    <n v="44557"/>
    <n v="4"/>
    <n v="178228"/>
    <x v="28"/>
    <x v="3"/>
    <x v="3"/>
    <s v="Delivered"/>
    <n v="3.7"/>
    <n v="6.5782312543483629E-2"/>
    <n v="41744.15"/>
    <x v="1"/>
  </r>
  <r>
    <n v="31"/>
    <n v="5072"/>
    <x v="1"/>
    <x v="0"/>
    <n v="6285"/>
    <n v="2"/>
    <n v="12570"/>
    <x v="29"/>
    <x v="1"/>
    <x v="3"/>
    <s v="Cancelled"/>
    <n v="1.5"/>
    <n v="5.3790771678599837E-2"/>
    <n v="3094.85"/>
    <x v="0"/>
  </r>
  <r>
    <n v="32"/>
    <n v="4298"/>
    <x v="5"/>
    <x v="0"/>
    <n v="14202"/>
    <n v="1"/>
    <n v="14202"/>
    <x v="30"/>
    <x v="2"/>
    <x v="3"/>
    <s v="Delivered"/>
    <n v="4.7"/>
    <n v="0.22003591043514997"/>
    <n v="1135.6500000000001"/>
    <x v="1"/>
  </r>
  <r>
    <n v="33"/>
    <n v="4217"/>
    <x v="4"/>
    <x v="2"/>
    <n v="49620"/>
    <n v="5"/>
    <n v="248100"/>
    <x v="31"/>
    <x v="3"/>
    <x v="4"/>
    <s v="Pending"/>
    <n v="3.3"/>
    <n v="7.4051148730350666E-2"/>
    <n v="56057.91"/>
    <x v="0"/>
  </r>
  <r>
    <n v="34"/>
    <n v="1956"/>
    <x v="0"/>
    <x v="0"/>
    <n v="8298"/>
    <n v="4"/>
    <n v="33192"/>
    <x v="32"/>
    <x v="1"/>
    <x v="2"/>
    <s v="Pending"/>
    <n v="4.7"/>
    <n v="5.5817968185104844E-2"/>
    <n v="8104.89"/>
    <x v="1"/>
  </r>
  <r>
    <n v="35"/>
    <n v="9390"/>
    <x v="3"/>
    <x v="1"/>
    <n v="43983"/>
    <n v="1"/>
    <n v="43983"/>
    <x v="33"/>
    <x v="1"/>
    <x v="2"/>
    <s v="Delivered"/>
    <n v="3.7"/>
    <n v="0.24164268012641249"/>
    <n v="2566.73"/>
    <x v="1"/>
  </r>
  <r>
    <n v="36"/>
    <n v="5238"/>
    <x v="4"/>
    <x v="0"/>
    <n v="41120"/>
    <n v="2"/>
    <n v="82240"/>
    <x v="34"/>
    <x v="2"/>
    <x v="1"/>
    <s v="Pending"/>
    <n v="2.7"/>
    <n v="0.2074761673151751"/>
    <n v="7609.16"/>
    <x v="1"/>
  </r>
  <r>
    <n v="37"/>
    <n v="6187"/>
    <x v="1"/>
    <x v="0"/>
    <n v="24170"/>
    <n v="5"/>
    <n v="120850"/>
    <x v="18"/>
    <x v="3"/>
    <x v="4"/>
    <s v="Pending"/>
    <n v="2.7"/>
    <n v="0.23243359536615638"/>
    <n v="8165.4"/>
    <x v="0"/>
  </r>
  <r>
    <n v="38"/>
    <n v="4566"/>
    <x v="2"/>
    <x v="0"/>
    <n v="44953"/>
    <n v="2"/>
    <n v="89906"/>
    <x v="35"/>
    <x v="1"/>
    <x v="2"/>
    <s v="Pending"/>
    <n v="4.0999999999999996"/>
    <n v="0.17073854915133585"/>
    <n v="11621.38"/>
    <x v="1"/>
  </r>
  <r>
    <n v="39"/>
    <n v="8425"/>
    <x v="3"/>
    <x v="0"/>
    <n v="48774"/>
    <n v="1"/>
    <n v="48774"/>
    <x v="36"/>
    <x v="2"/>
    <x v="4"/>
    <s v="Cancelled"/>
    <n v="4.7"/>
    <n v="0.14062266781481936"/>
    <n v="7773.47"/>
    <x v="1"/>
  </r>
  <r>
    <n v="40"/>
    <n v="9909"/>
    <x v="1"/>
    <x v="1"/>
    <n v="27206"/>
    <n v="3"/>
    <n v="81618"/>
    <x v="37"/>
    <x v="3"/>
    <x v="2"/>
    <s v="Pending"/>
    <n v="1.7"/>
    <n v="0.1775708789727756"/>
    <n v="9992.42"/>
    <x v="0"/>
  </r>
  <r>
    <n v="41"/>
    <n v="4642"/>
    <x v="3"/>
    <x v="2"/>
    <n v="24685"/>
    <n v="3"/>
    <n v="74055"/>
    <x v="38"/>
    <x v="1"/>
    <x v="2"/>
    <s v="Cancelled"/>
    <n v="3.8"/>
    <n v="0.18472851259199244"/>
    <n v="8536.43"/>
    <x v="0"/>
  </r>
  <r>
    <n v="42"/>
    <n v="4151"/>
    <x v="4"/>
    <x v="0"/>
    <n v="3405"/>
    <n v="5"/>
    <n v="17025"/>
    <x v="39"/>
    <x v="2"/>
    <x v="0"/>
    <s v="Pending"/>
    <n v="3.6"/>
    <n v="0.22545080763582967"/>
    <n v="1269.2"/>
    <x v="0"/>
  </r>
  <r>
    <n v="43"/>
    <n v="8907"/>
    <x v="3"/>
    <x v="0"/>
    <n v="36999"/>
    <n v="2"/>
    <n v="73998"/>
    <x v="40"/>
    <x v="3"/>
    <x v="1"/>
    <s v="Cancelled"/>
    <n v="2.8"/>
    <n v="0.17686815859888105"/>
    <n v="9111.51"/>
    <x v="0"/>
  </r>
  <r>
    <n v="44"/>
    <n v="8543"/>
    <x v="0"/>
    <x v="1"/>
    <n v="19628"/>
    <n v="4"/>
    <n v="78512"/>
    <x v="41"/>
    <x v="3"/>
    <x v="3"/>
    <s v="Cancelled"/>
    <n v="3.2"/>
    <n v="9.1724322396576324E-2"/>
    <n v="16352.14"/>
    <x v="0"/>
  </r>
  <r>
    <n v="45"/>
    <n v="4863"/>
    <x v="0"/>
    <x v="0"/>
    <n v="32765"/>
    <n v="3"/>
    <n v="98295"/>
    <x v="42"/>
    <x v="2"/>
    <x v="0"/>
    <s v="Pending"/>
    <n v="2.4"/>
    <n v="0.15850226359428252"/>
    <n v="13908.52"/>
    <x v="0"/>
  </r>
  <r>
    <n v="46"/>
    <n v="6217"/>
    <x v="4"/>
    <x v="0"/>
    <n v="7157"/>
    <n v="1"/>
    <n v="7157"/>
    <x v="43"/>
    <x v="0"/>
    <x v="3"/>
    <s v="Delivered"/>
    <n v="1.8"/>
    <n v="0.19557775604303479"/>
    <n v="747.35"/>
    <x v="0"/>
  </r>
  <r>
    <n v="47"/>
    <n v="8654"/>
    <x v="2"/>
    <x v="1"/>
    <n v="13814"/>
    <n v="2"/>
    <n v="27628"/>
    <x v="33"/>
    <x v="0"/>
    <x v="4"/>
    <s v="Delivered"/>
    <n v="2"/>
    <n v="8.8024829882727668E-2"/>
    <n v="5856.45"/>
    <x v="0"/>
  </r>
  <r>
    <n v="48"/>
    <n v="7775"/>
    <x v="5"/>
    <x v="1"/>
    <n v="41981"/>
    <n v="3"/>
    <n v="125943"/>
    <x v="44"/>
    <x v="2"/>
    <x v="2"/>
    <s v="Cancelled"/>
    <n v="3"/>
    <n v="0.2914934533876436"/>
    <n v="1071.3399999999999"/>
    <x v="1"/>
  </r>
  <r>
    <n v="49"/>
    <n v="9029"/>
    <x v="2"/>
    <x v="1"/>
    <n v="7038"/>
    <n v="5"/>
    <n v="35190"/>
    <x v="40"/>
    <x v="1"/>
    <x v="0"/>
    <s v="Cancelled"/>
    <n v="4.5999999999999996"/>
    <n v="6.5840579710144925E-2"/>
    <n v="8240.07"/>
    <x v="0"/>
  </r>
  <r>
    <n v="50"/>
    <n v="3728"/>
    <x v="1"/>
    <x v="1"/>
    <n v="40690"/>
    <n v="5"/>
    <n v="203450"/>
    <x v="45"/>
    <x v="0"/>
    <x v="1"/>
    <s v="Delivered"/>
    <n v="4.2"/>
    <n v="6.5398869501105919E-2"/>
    <n v="47729.599999999999"/>
    <x v="0"/>
  </r>
  <r>
    <n v="51"/>
    <n v="5410"/>
    <x v="2"/>
    <x v="2"/>
    <n v="23195"/>
    <n v="1"/>
    <n v="23195"/>
    <x v="46"/>
    <x v="3"/>
    <x v="0"/>
    <s v="Pending"/>
    <n v="1.1000000000000001"/>
    <n v="0.16864151756844148"/>
    <n v="3046.86"/>
    <x v="0"/>
  </r>
  <r>
    <n v="52"/>
    <n v="5712"/>
    <x v="4"/>
    <x v="2"/>
    <n v="16881"/>
    <n v="4"/>
    <n v="67524"/>
    <x v="47"/>
    <x v="3"/>
    <x v="1"/>
    <s v="Pending"/>
    <n v="3.5"/>
    <n v="0.12826980036727684"/>
    <n v="11595.91"/>
    <x v="0"/>
  </r>
  <r>
    <n v="53"/>
    <n v="3137"/>
    <x v="5"/>
    <x v="1"/>
    <n v="4112"/>
    <n v="2"/>
    <n v="8224"/>
    <x v="48"/>
    <x v="1"/>
    <x v="2"/>
    <s v="Cancelled"/>
    <n v="2.6"/>
    <n v="0.18698200389105057"/>
    <n v="929.46"/>
    <x v="0"/>
  </r>
  <r>
    <n v="54"/>
    <n v="6866"/>
    <x v="4"/>
    <x v="1"/>
    <n v="15354"/>
    <n v="4"/>
    <n v="61416"/>
    <x v="49"/>
    <x v="0"/>
    <x v="0"/>
    <s v="Pending"/>
    <n v="4.5"/>
    <n v="0.14050003256480398"/>
    <n v="9795.85"/>
    <x v="0"/>
  </r>
  <r>
    <n v="55"/>
    <n v="9165"/>
    <x v="5"/>
    <x v="0"/>
    <n v="45179"/>
    <n v="4"/>
    <n v="180716"/>
    <x v="50"/>
    <x v="3"/>
    <x v="4"/>
    <s v="Cancelled"/>
    <n v="4.7"/>
    <n v="0.17746762876557692"/>
    <n v="22143.56"/>
    <x v="1"/>
  </r>
  <r>
    <n v="56"/>
    <n v="2495"/>
    <x v="0"/>
    <x v="2"/>
    <n v="10568"/>
    <n v="3"/>
    <n v="31704"/>
    <x v="51"/>
    <x v="2"/>
    <x v="4"/>
    <s v="Pending"/>
    <n v="1.5"/>
    <n v="0.20631150643451929"/>
    <n v="2970.3"/>
    <x v="1"/>
  </r>
  <r>
    <n v="57"/>
    <n v="6333"/>
    <x v="1"/>
    <x v="1"/>
    <n v="19224"/>
    <n v="5"/>
    <n v="96120"/>
    <x v="52"/>
    <x v="2"/>
    <x v="2"/>
    <s v="Pending"/>
    <n v="2.7"/>
    <n v="0.29941032043279237"/>
    <n v="56.68"/>
    <x v="0"/>
  </r>
  <r>
    <n v="58"/>
    <n v="7423"/>
    <x v="1"/>
    <x v="0"/>
    <n v="19719"/>
    <n v="3"/>
    <n v="59157"/>
    <x v="53"/>
    <x v="0"/>
    <x v="4"/>
    <s v="Cancelled"/>
    <n v="1.1000000000000001"/>
    <n v="7.3790084013726179E-2"/>
    <n v="13381.9"/>
    <x v="0"/>
  </r>
  <r>
    <n v="59"/>
    <n v="7096"/>
    <x v="2"/>
    <x v="1"/>
    <n v="35192"/>
    <n v="4"/>
    <n v="140768"/>
    <x v="54"/>
    <x v="3"/>
    <x v="1"/>
    <s v="Delivered"/>
    <n v="4.2"/>
    <n v="8.4013767333484882E-2"/>
    <n v="30403.95"/>
    <x v="1"/>
  </r>
  <r>
    <n v="60"/>
    <n v="8167"/>
    <x v="5"/>
    <x v="2"/>
    <n v="22571"/>
    <n v="3"/>
    <n v="67713"/>
    <x v="55"/>
    <x v="0"/>
    <x v="4"/>
    <s v="Cancelled"/>
    <n v="3.2"/>
    <n v="0.13666445143473188"/>
    <n v="11059.94"/>
    <x v="1"/>
  </r>
  <r>
    <n v="61"/>
    <n v="9130"/>
    <x v="2"/>
    <x v="1"/>
    <n v="26073"/>
    <n v="1"/>
    <n v="26073"/>
    <x v="43"/>
    <x v="1"/>
    <x v="2"/>
    <s v="Delivered"/>
    <n v="3.1"/>
    <n v="0.19620603689640626"/>
    <n v="2706.22"/>
    <x v="1"/>
  </r>
  <r>
    <n v="62"/>
    <n v="2304"/>
    <x v="0"/>
    <x v="1"/>
    <n v="28216"/>
    <n v="1"/>
    <n v="28216"/>
    <x v="44"/>
    <x v="3"/>
    <x v="4"/>
    <s v="Pending"/>
    <n v="1.4"/>
    <n v="0.13831407711936491"/>
    <n v="4562.13"/>
    <x v="0"/>
  </r>
  <r>
    <n v="63"/>
    <n v="4850"/>
    <x v="5"/>
    <x v="1"/>
    <n v="19500"/>
    <n v="1"/>
    <n v="19500"/>
    <x v="56"/>
    <x v="1"/>
    <x v="4"/>
    <s v="Delivered"/>
    <n v="3.8"/>
    <n v="0.22658000000000003"/>
    <n v="1431.69"/>
    <x v="1"/>
  </r>
  <r>
    <n v="64"/>
    <n v="4241"/>
    <x v="0"/>
    <x v="1"/>
    <n v="29096"/>
    <n v="2"/>
    <n v="58192"/>
    <x v="57"/>
    <x v="2"/>
    <x v="0"/>
    <s v="Delivered"/>
    <n v="1"/>
    <n v="7.7828739345614517E-2"/>
    <n v="12928.59"/>
    <x v="1"/>
  </r>
  <r>
    <n v="65"/>
    <n v="5971"/>
    <x v="5"/>
    <x v="2"/>
    <n v="46577"/>
    <n v="5"/>
    <n v="232885"/>
    <x v="58"/>
    <x v="1"/>
    <x v="3"/>
    <s v="Cancelled"/>
    <n v="1.4"/>
    <n v="5.0205981493011573E-2"/>
    <n v="58173.279999999999"/>
    <x v="1"/>
  </r>
  <r>
    <n v="66"/>
    <n v="2517"/>
    <x v="0"/>
    <x v="1"/>
    <n v="40107"/>
    <n v="5"/>
    <n v="200535"/>
    <x v="59"/>
    <x v="2"/>
    <x v="3"/>
    <s v="Cancelled"/>
    <n v="3"/>
    <n v="0.16910015707981149"/>
    <n v="26250"/>
    <x v="0"/>
  </r>
  <r>
    <n v="67"/>
    <n v="4603"/>
    <x v="5"/>
    <x v="1"/>
    <n v="19623"/>
    <n v="2"/>
    <n v="39246"/>
    <x v="60"/>
    <x v="3"/>
    <x v="0"/>
    <s v="Pending"/>
    <n v="1.6"/>
    <n v="0.1219655506293635"/>
    <n v="6987.14"/>
    <x v="1"/>
  </r>
  <r>
    <n v="68"/>
    <n v="7630"/>
    <x v="2"/>
    <x v="1"/>
    <n v="39760"/>
    <n v="1"/>
    <n v="39760"/>
    <x v="61"/>
    <x v="1"/>
    <x v="0"/>
    <s v="Delivered"/>
    <n v="1.2"/>
    <n v="0.20647233400402415"/>
    <n v="3718.66"/>
    <x v="0"/>
  </r>
  <r>
    <n v="69"/>
    <n v="7246"/>
    <x v="3"/>
    <x v="1"/>
    <n v="28367"/>
    <n v="2"/>
    <n v="56734"/>
    <x v="62"/>
    <x v="2"/>
    <x v="4"/>
    <s v="Delivered"/>
    <n v="4.5"/>
    <n v="0.16178816935171147"/>
    <n v="7841.31"/>
    <x v="0"/>
  </r>
  <r>
    <n v="70"/>
    <n v="6760"/>
    <x v="3"/>
    <x v="2"/>
    <n v="11873"/>
    <n v="5"/>
    <n v="59365"/>
    <x v="63"/>
    <x v="2"/>
    <x v="3"/>
    <s v="Delivered"/>
    <n v="2.5"/>
    <n v="0.24233083466689126"/>
    <n v="3423.53"/>
    <x v="1"/>
  </r>
  <r>
    <n v="71"/>
    <n v="1449"/>
    <x v="4"/>
    <x v="0"/>
    <n v="21102"/>
    <n v="2"/>
    <n v="42204"/>
    <x v="64"/>
    <x v="1"/>
    <x v="1"/>
    <s v="Cancelled"/>
    <n v="1.3"/>
    <n v="0.15047317789782957"/>
    <n v="6310.63"/>
    <x v="1"/>
  </r>
  <r>
    <n v="72"/>
    <n v="1315"/>
    <x v="0"/>
    <x v="1"/>
    <n v="2495"/>
    <n v="3"/>
    <n v="7485"/>
    <x v="65"/>
    <x v="3"/>
    <x v="4"/>
    <s v="Pending"/>
    <n v="3.2"/>
    <n v="0.29934669338677355"/>
    <n v="4.8899999999999997"/>
    <x v="0"/>
  </r>
  <r>
    <n v="73"/>
    <n v="5998"/>
    <x v="5"/>
    <x v="0"/>
    <n v="46451"/>
    <n v="3"/>
    <n v="139353"/>
    <x v="66"/>
    <x v="1"/>
    <x v="0"/>
    <s v="Cancelled"/>
    <n v="3.3"/>
    <n v="0.28538258953879714"/>
    <n v="2036.98"/>
    <x v="0"/>
  </r>
  <r>
    <n v="74"/>
    <n v="5220"/>
    <x v="1"/>
    <x v="1"/>
    <n v="32692"/>
    <n v="2"/>
    <n v="65384"/>
    <x v="67"/>
    <x v="0"/>
    <x v="0"/>
    <s v="Pending"/>
    <n v="5"/>
    <n v="0.14389422488682246"/>
    <n v="10206.82"/>
    <x v="1"/>
  </r>
  <r>
    <n v="75"/>
    <n v="1975"/>
    <x v="0"/>
    <x v="1"/>
    <n v="26476"/>
    <n v="4"/>
    <n v="105904"/>
    <x v="68"/>
    <x v="2"/>
    <x v="3"/>
    <s v="Cancelled"/>
    <n v="2.4"/>
    <n v="7.9156216951201078E-2"/>
    <n v="23388.240000000002"/>
    <x v="1"/>
  </r>
  <r>
    <n v="76"/>
    <n v="1504"/>
    <x v="0"/>
    <x v="1"/>
    <n v="15122"/>
    <n v="2"/>
    <n v="30244"/>
    <x v="6"/>
    <x v="3"/>
    <x v="2"/>
    <s v="Delivered"/>
    <n v="1.8"/>
    <n v="8.0074064277212018E-2"/>
    <n v="6651.44"/>
    <x v="0"/>
  </r>
  <r>
    <n v="77"/>
    <n v="9105"/>
    <x v="2"/>
    <x v="2"/>
    <n v="14449"/>
    <n v="1"/>
    <n v="14449"/>
    <x v="69"/>
    <x v="2"/>
    <x v="4"/>
    <s v="Pending"/>
    <n v="4"/>
    <n v="0.23707592220914944"/>
    <n v="909.19"/>
    <x v="1"/>
  </r>
  <r>
    <n v="78"/>
    <n v="9116"/>
    <x v="4"/>
    <x v="1"/>
    <n v="38231"/>
    <n v="2"/>
    <n v="76462"/>
    <x v="70"/>
    <x v="0"/>
    <x v="1"/>
    <s v="Cancelled"/>
    <n v="1.2"/>
    <n v="0.11222816562475478"/>
    <n v="14357.41"/>
    <x v="0"/>
  </r>
  <r>
    <n v="79"/>
    <n v="9079"/>
    <x v="0"/>
    <x v="0"/>
    <n v="579"/>
    <n v="5"/>
    <n v="2895"/>
    <x v="71"/>
    <x v="0"/>
    <x v="4"/>
    <s v="Pending"/>
    <n v="3.5"/>
    <n v="9.4614853195164078E-2"/>
    <n v="594.59"/>
    <x v="1"/>
  </r>
  <r>
    <n v="80"/>
    <n v="1953"/>
    <x v="0"/>
    <x v="2"/>
    <n v="24860"/>
    <n v="5"/>
    <n v="124300"/>
    <x v="72"/>
    <x v="3"/>
    <x v="3"/>
    <s v="Delivered"/>
    <n v="1.9"/>
    <n v="0.2036704746580853"/>
    <n v="11973.76"/>
    <x v="0"/>
  </r>
  <r>
    <n v="81"/>
    <n v="5590"/>
    <x v="4"/>
    <x v="2"/>
    <n v="28976"/>
    <n v="5"/>
    <n v="144880"/>
    <x v="73"/>
    <x v="2"/>
    <x v="1"/>
    <s v="Delivered"/>
    <n v="4"/>
    <n v="0.19322335726118167"/>
    <n v="15469.8"/>
    <x v="1"/>
  </r>
  <r>
    <n v="82"/>
    <n v="5154"/>
    <x v="1"/>
    <x v="2"/>
    <n v="35275"/>
    <n v="1"/>
    <n v="35275"/>
    <x v="13"/>
    <x v="2"/>
    <x v="3"/>
    <s v="Delivered"/>
    <n v="1.7"/>
    <n v="0.22072515946137491"/>
    <n v="2796.42"/>
    <x v="1"/>
  </r>
  <r>
    <n v="83"/>
    <n v="4470"/>
    <x v="0"/>
    <x v="2"/>
    <n v="39594"/>
    <n v="2"/>
    <n v="79188"/>
    <x v="74"/>
    <x v="0"/>
    <x v="2"/>
    <s v="Delivered"/>
    <n v="3.5"/>
    <n v="0.20124930545032077"/>
    <n v="7819.87"/>
    <x v="0"/>
  </r>
  <r>
    <n v="84"/>
    <n v="7014"/>
    <x v="1"/>
    <x v="1"/>
    <n v="26816"/>
    <n v="5"/>
    <n v="134080"/>
    <x v="75"/>
    <x v="2"/>
    <x v="0"/>
    <s v="Cancelled"/>
    <n v="4.9000000000000004"/>
    <n v="0.20179683770883053"/>
    <n v="13167.08"/>
    <x v="1"/>
  </r>
  <r>
    <n v="85"/>
    <n v="8842"/>
    <x v="1"/>
    <x v="0"/>
    <n v="27329"/>
    <n v="5"/>
    <n v="136645"/>
    <x v="38"/>
    <x v="1"/>
    <x v="3"/>
    <s v="Pending"/>
    <n v="4.8"/>
    <n v="0.19712766658128728"/>
    <n v="14056.99"/>
    <x v="1"/>
  </r>
  <r>
    <n v="86"/>
    <n v="1743"/>
    <x v="1"/>
    <x v="2"/>
    <n v="46040"/>
    <n v="2"/>
    <n v="92080"/>
    <x v="9"/>
    <x v="0"/>
    <x v="4"/>
    <s v="Cancelled"/>
    <n v="4.0999999999999996"/>
    <n v="0.1147774761077324"/>
    <n v="17055.29"/>
    <x v="0"/>
  </r>
  <r>
    <n v="87"/>
    <n v="4963"/>
    <x v="3"/>
    <x v="0"/>
    <n v="45911"/>
    <n v="2"/>
    <n v="91822"/>
    <x v="51"/>
    <x v="2"/>
    <x v="0"/>
    <s v="Delivered"/>
    <n v="3.3"/>
    <n v="0.18500130687634769"/>
    <n v="10559.41"/>
    <x v="0"/>
  </r>
  <r>
    <n v="88"/>
    <n v="8523"/>
    <x v="0"/>
    <x v="2"/>
    <n v="16954"/>
    <n v="4"/>
    <n v="67816"/>
    <x v="76"/>
    <x v="1"/>
    <x v="1"/>
    <s v="Cancelled"/>
    <n v="1.7"/>
    <n v="0.29548159726318274"/>
    <n v="306.42"/>
    <x v="1"/>
  </r>
  <r>
    <n v="89"/>
    <n v="7336"/>
    <x v="3"/>
    <x v="0"/>
    <n v="3777"/>
    <n v="3"/>
    <n v="11331"/>
    <x v="77"/>
    <x v="1"/>
    <x v="2"/>
    <s v="Cancelled"/>
    <n v="2.5"/>
    <n v="0.29952607889859678"/>
    <n v="5.37"/>
    <x v="1"/>
  </r>
  <r>
    <n v="90"/>
    <n v="3440"/>
    <x v="4"/>
    <x v="0"/>
    <n v="48209"/>
    <n v="5"/>
    <n v="241045"/>
    <x v="63"/>
    <x v="0"/>
    <x v="0"/>
    <s v="Pending"/>
    <n v="4.5999999999999996"/>
    <n v="0.29937103030554463"/>
    <n v="151.61000000000001"/>
    <x v="1"/>
  </r>
  <r>
    <n v="91"/>
    <n v="6348"/>
    <x v="0"/>
    <x v="2"/>
    <n v="9863"/>
    <n v="3"/>
    <n v="29589"/>
    <x v="78"/>
    <x v="2"/>
    <x v="3"/>
    <s v="Pending"/>
    <n v="3"/>
    <n v="0.10954239751258914"/>
    <n v="5635.45"/>
    <x v="0"/>
  </r>
  <r>
    <n v="92"/>
    <n v="9118"/>
    <x v="5"/>
    <x v="2"/>
    <n v="8017"/>
    <n v="1"/>
    <n v="8017"/>
    <x v="31"/>
    <x v="0"/>
    <x v="4"/>
    <s v="Cancelled"/>
    <n v="1.8"/>
    <n v="0.19748659099413746"/>
    <n v="821.85"/>
    <x v="1"/>
  </r>
  <r>
    <n v="93"/>
    <n v="9919"/>
    <x v="3"/>
    <x v="2"/>
    <n v="22479"/>
    <n v="4"/>
    <n v="89916"/>
    <x v="61"/>
    <x v="1"/>
    <x v="2"/>
    <s v="Pending"/>
    <n v="3.1"/>
    <n v="7.5337314827172028E-2"/>
    <n v="20200.77"/>
    <x v="1"/>
  </r>
  <r>
    <n v="94"/>
    <n v="3921"/>
    <x v="0"/>
    <x v="2"/>
    <n v="4280"/>
    <n v="2"/>
    <n v="8560"/>
    <x v="79"/>
    <x v="0"/>
    <x v="2"/>
    <s v="Delivered"/>
    <n v="3.1"/>
    <n v="8.9862149532710281E-2"/>
    <n v="1798.78"/>
    <x v="0"/>
  </r>
  <r>
    <n v="95"/>
    <n v="6398"/>
    <x v="5"/>
    <x v="1"/>
    <n v="30427"/>
    <n v="3"/>
    <n v="91281"/>
    <x v="70"/>
    <x v="2"/>
    <x v="3"/>
    <s v="Cancelled"/>
    <n v="4.0999999999999996"/>
    <n v="0.16245045518782658"/>
    <n v="12555.66"/>
    <x v="1"/>
  </r>
  <r>
    <n v="96"/>
    <n v="8161"/>
    <x v="2"/>
    <x v="0"/>
    <n v="31533"/>
    <n v="5"/>
    <n v="157665"/>
    <x v="80"/>
    <x v="2"/>
    <x v="2"/>
    <s v="Delivered"/>
    <n v="3.8"/>
    <n v="0.121611264389687"/>
    <n v="28125.66"/>
    <x v="1"/>
  </r>
  <r>
    <n v="97"/>
    <n v="1366"/>
    <x v="5"/>
    <x v="0"/>
    <n v="12988"/>
    <n v="1"/>
    <n v="12988"/>
    <x v="81"/>
    <x v="2"/>
    <x v="0"/>
    <s v="Pending"/>
    <n v="1.9"/>
    <n v="0.16205651370495841"/>
    <n v="1791.61"/>
    <x v="0"/>
  </r>
  <r>
    <n v="98"/>
    <n v="1935"/>
    <x v="5"/>
    <x v="0"/>
    <n v="25576"/>
    <n v="3"/>
    <n v="76728"/>
    <x v="6"/>
    <x v="0"/>
    <x v="1"/>
    <s v="Delivered"/>
    <n v="4.2"/>
    <n v="0.13910280471275155"/>
    <n v="12345.32"/>
    <x v="1"/>
  </r>
  <r>
    <n v="99"/>
    <n v="4426"/>
    <x v="1"/>
    <x v="2"/>
    <n v="34701"/>
    <n v="2"/>
    <n v="69402"/>
    <x v="66"/>
    <x v="0"/>
    <x v="2"/>
    <s v="Cancelled"/>
    <n v="1.1000000000000001"/>
    <n v="0.17298507247629752"/>
    <n v="8815.09"/>
    <x v="1"/>
  </r>
  <r>
    <n v="100"/>
    <n v="9503"/>
    <x v="1"/>
    <x v="1"/>
    <n v="27168"/>
    <n v="2"/>
    <n v="54336"/>
    <x v="82"/>
    <x v="0"/>
    <x v="3"/>
    <s v="Cancelled"/>
    <n v="2.2999999999999998"/>
    <n v="0.16868577002355711"/>
    <n v="7135.09"/>
    <x v="1"/>
  </r>
  <r>
    <n v="101"/>
    <n v="7627"/>
    <x v="4"/>
    <x v="0"/>
    <n v="36834"/>
    <n v="3"/>
    <n v="110502"/>
    <x v="83"/>
    <x v="2"/>
    <x v="2"/>
    <s v="Pending"/>
    <n v="4.3"/>
    <n v="7.8376499972851177E-2"/>
    <n v="24489.84"/>
    <x v="1"/>
  </r>
  <r>
    <n v="102"/>
    <n v="5977"/>
    <x v="1"/>
    <x v="1"/>
    <n v="46816"/>
    <n v="2"/>
    <n v="93632"/>
    <x v="84"/>
    <x v="2"/>
    <x v="4"/>
    <s v="Delivered"/>
    <n v="3.2"/>
    <n v="0.22395815533151062"/>
    <n v="7119.95"/>
    <x v="1"/>
  </r>
  <r>
    <n v="103"/>
    <n v="7381"/>
    <x v="3"/>
    <x v="2"/>
    <n v="31414"/>
    <n v="5"/>
    <n v="157070"/>
    <x v="85"/>
    <x v="2"/>
    <x v="4"/>
    <s v="Pending"/>
    <n v="1.7"/>
    <n v="7.3708983255873176E-2"/>
    <n v="35543.53"/>
    <x v="1"/>
  </r>
  <r>
    <n v="104"/>
    <n v="8838"/>
    <x v="0"/>
    <x v="1"/>
    <n v="43365"/>
    <n v="5"/>
    <n v="216825"/>
    <x v="17"/>
    <x v="2"/>
    <x v="0"/>
    <s v="Delivered"/>
    <n v="2.7"/>
    <n v="0.20672772973596218"/>
    <n v="20223.759999999998"/>
    <x v="0"/>
  </r>
  <r>
    <n v="105"/>
    <n v="8550"/>
    <x v="5"/>
    <x v="2"/>
    <n v="26710"/>
    <n v="1"/>
    <n v="26710"/>
    <x v="86"/>
    <x v="2"/>
    <x v="2"/>
    <s v="Pending"/>
    <n v="1.7"/>
    <n v="9.5200673904904526E-2"/>
    <n v="5470.19"/>
    <x v="0"/>
  </r>
  <r>
    <n v="106"/>
    <n v="3644"/>
    <x v="1"/>
    <x v="0"/>
    <n v="38494"/>
    <n v="1"/>
    <n v="38494"/>
    <x v="87"/>
    <x v="0"/>
    <x v="0"/>
    <s v="Delivered"/>
    <n v="1.9"/>
    <n v="0.11005247571050034"/>
    <n v="7311.84"/>
    <x v="0"/>
  </r>
  <r>
    <n v="107"/>
    <n v="5685"/>
    <x v="4"/>
    <x v="1"/>
    <n v="16848"/>
    <n v="2"/>
    <n v="33696"/>
    <x v="88"/>
    <x v="0"/>
    <x v="3"/>
    <s v="Cancelled"/>
    <n v="4.5999999999999996"/>
    <n v="0.26489672364672362"/>
    <n v="1182.8399999999999"/>
    <x v="1"/>
  </r>
  <r>
    <n v="108"/>
    <n v="8317"/>
    <x v="4"/>
    <x v="1"/>
    <n v="42245"/>
    <n v="1"/>
    <n v="42245"/>
    <x v="89"/>
    <x v="0"/>
    <x v="3"/>
    <s v="Cancelled"/>
    <n v="3.9"/>
    <n v="0.13292342289028289"/>
    <n v="7058.15"/>
    <x v="1"/>
  </r>
  <r>
    <n v="109"/>
    <n v="6122"/>
    <x v="5"/>
    <x v="0"/>
    <n v="45852"/>
    <n v="4"/>
    <n v="183408"/>
    <x v="17"/>
    <x v="1"/>
    <x v="1"/>
    <s v="Delivered"/>
    <n v="1"/>
    <n v="0.12419158379132862"/>
    <n v="32244.67"/>
    <x v="1"/>
  </r>
  <r>
    <n v="110"/>
    <n v="6013"/>
    <x v="3"/>
    <x v="2"/>
    <n v="39494"/>
    <n v="5"/>
    <n v="197470"/>
    <x v="90"/>
    <x v="2"/>
    <x v="2"/>
    <s v="Pending"/>
    <n v="4.0999999999999996"/>
    <n v="9.290160530713526E-2"/>
    <n v="40895.72"/>
    <x v="1"/>
  </r>
  <r>
    <n v="111"/>
    <n v="9190"/>
    <x v="3"/>
    <x v="1"/>
    <n v="16404"/>
    <n v="4"/>
    <n v="65616"/>
    <x v="91"/>
    <x v="2"/>
    <x v="4"/>
    <s v="Cancelled"/>
    <n v="3.6"/>
    <n v="0.18139981102170202"/>
    <n v="7782.07"/>
    <x v="0"/>
  </r>
  <r>
    <n v="112"/>
    <n v="1763"/>
    <x v="3"/>
    <x v="1"/>
    <n v="12592"/>
    <n v="1"/>
    <n v="12592"/>
    <x v="92"/>
    <x v="0"/>
    <x v="0"/>
    <s v="Delivered"/>
    <n v="3.3"/>
    <n v="5.9514771283354508E-2"/>
    <n v="3028.19"/>
    <x v="1"/>
  </r>
  <r>
    <n v="113"/>
    <n v="2276"/>
    <x v="4"/>
    <x v="1"/>
    <n v="35123"/>
    <n v="1"/>
    <n v="35123"/>
    <x v="93"/>
    <x v="2"/>
    <x v="4"/>
    <s v="Delivered"/>
    <n v="4.3"/>
    <n v="7.2704210915924036E-2"/>
    <n v="7983.31"/>
    <x v="0"/>
  </r>
  <r>
    <n v="114"/>
    <n v="3560"/>
    <x v="5"/>
    <x v="0"/>
    <n v="27675"/>
    <n v="4"/>
    <n v="110700"/>
    <x v="94"/>
    <x v="2"/>
    <x v="2"/>
    <s v="Delivered"/>
    <n v="4.7"/>
    <n v="6.2764498644986441E-2"/>
    <n v="26261.97"/>
    <x v="1"/>
  </r>
  <r>
    <n v="115"/>
    <n v="2765"/>
    <x v="4"/>
    <x v="1"/>
    <n v="33319"/>
    <n v="5"/>
    <n v="166595"/>
    <x v="95"/>
    <x v="2"/>
    <x v="1"/>
    <s v="Pending"/>
    <n v="2.7"/>
    <n v="0.1037503526516402"/>
    <n v="32694.21"/>
    <x v="1"/>
  </r>
  <r>
    <n v="116"/>
    <n v="4678"/>
    <x v="4"/>
    <x v="1"/>
    <n v="36375"/>
    <n v="4"/>
    <n v="145500"/>
    <x v="96"/>
    <x v="1"/>
    <x v="2"/>
    <s v="Delivered"/>
    <n v="4.5999999999999996"/>
    <n v="5.3696151202749141E-2"/>
    <n v="35837.21"/>
    <x v="1"/>
  </r>
  <r>
    <n v="117"/>
    <n v="4898"/>
    <x v="4"/>
    <x v="1"/>
    <n v="17364"/>
    <n v="3"/>
    <n v="52092"/>
    <x v="36"/>
    <x v="1"/>
    <x v="1"/>
    <s v="Cancelled"/>
    <n v="2.8"/>
    <n v="0.22432926361053521"/>
    <n v="3941.84"/>
    <x v="1"/>
  </r>
  <r>
    <n v="118"/>
    <n v="3576"/>
    <x v="3"/>
    <x v="0"/>
    <n v="8575"/>
    <n v="5"/>
    <n v="42875"/>
    <x v="63"/>
    <x v="2"/>
    <x v="0"/>
    <s v="Cancelled"/>
    <n v="3.4"/>
    <n v="0.1310458309037901"/>
    <n v="7243.91"/>
    <x v="1"/>
  </r>
  <r>
    <n v="119"/>
    <n v="6025"/>
    <x v="1"/>
    <x v="2"/>
    <n v="38931"/>
    <n v="3"/>
    <n v="116793"/>
    <x v="63"/>
    <x v="3"/>
    <x v="0"/>
    <s v="Pending"/>
    <n v="2.2999999999999998"/>
    <n v="0.19143527437432037"/>
    <n v="12679.6"/>
    <x v="1"/>
  </r>
  <r>
    <n v="120"/>
    <n v="9589"/>
    <x v="3"/>
    <x v="0"/>
    <n v="40674"/>
    <n v="2"/>
    <n v="81348"/>
    <x v="72"/>
    <x v="1"/>
    <x v="4"/>
    <s v="Pending"/>
    <n v="1.8"/>
    <n v="0.27846081034567538"/>
    <n v="1752.17"/>
    <x v="1"/>
  </r>
  <r>
    <n v="121"/>
    <n v="6347"/>
    <x v="1"/>
    <x v="2"/>
    <n v="33410"/>
    <n v="4"/>
    <n v="133640"/>
    <x v="97"/>
    <x v="3"/>
    <x v="0"/>
    <s v="Pending"/>
    <n v="4.3"/>
    <n v="0.27112092187967674"/>
    <n v="3859.4"/>
    <x v="1"/>
  </r>
  <r>
    <n v="122"/>
    <n v="3479"/>
    <x v="2"/>
    <x v="1"/>
    <n v="16183"/>
    <n v="3"/>
    <n v="48549"/>
    <x v="35"/>
    <x v="2"/>
    <x v="3"/>
    <s v="Cancelled"/>
    <n v="4.2"/>
    <n v="5.2494387114049725E-2"/>
    <n v="12016.15"/>
    <x v="0"/>
  </r>
  <r>
    <n v="123"/>
    <n v="7177"/>
    <x v="3"/>
    <x v="0"/>
    <n v="23953"/>
    <n v="1"/>
    <n v="23953"/>
    <x v="33"/>
    <x v="3"/>
    <x v="3"/>
    <s v="Delivered"/>
    <n v="1.5"/>
    <n v="0.10558760906775769"/>
    <n v="4656.76"/>
    <x v="1"/>
  </r>
  <r>
    <n v="124"/>
    <n v="5670"/>
    <x v="1"/>
    <x v="0"/>
    <n v="30268"/>
    <n v="1"/>
    <n v="30268"/>
    <x v="98"/>
    <x v="2"/>
    <x v="0"/>
    <s v="Pending"/>
    <n v="2"/>
    <n v="0.1754949121184089"/>
    <n v="3768.52"/>
    <x v="1"/>
  </r>
  <r>
    <n v="125"/>
    <n v="5198"/>
    <x v="4"/>
    <x v="1"/>
    <n v="36892"/>
    <n v="5"/>
    <n v="184460"/>
    <x v="99"/>
    <x v="0"/>
    <x v="1"/>
    <s v="Cancelled"/>
    <n v="4.3"/>
    <n v="0.1289120676569446"/>
    <n v="31558.880000000001"/>
    <x v="0"/>
  </r>
  <r>
    <n v="126"/>
    <n v="5025"/>
    <x v="4"/>
    <x v="1"/>
    <n v="969"/>
    <n v="2"/>
    <n v="1938"/>
    <x v="100"/>
    <x v="3"/>
    <x v="4"/>
    <s v="Delivered"/>
    <n v="1.6"/>
    <n v="0.24594427244582043"/>
    <n v="104.76"/>
    <x v="0"/>
  </r>
  <r>
    <n v="127"/>
    <n v="9359"/>
    <x v="3"/>
    <x v="0"/>
    <n v="20498"/>
    <n v="2"/>
    <n v="40996"/>
    <x v="101"/>
    <x v="1"/>
    <x v="2"/>
    <s v="Cancelled"/>
    <n v="2.9"/>
    <n v="0.25644940969850716"/>
    <n v="1785.4"/>
    <x v="0"/>
  </r>
  <r>
    <n v="128"/>
    <n v="8022"/>
    <x v="2"/>
    <x v="0"/>
    <n v="47668"/>
    <n v="3"/>
    <n v="143004"/>
    <x v="102"/>
    <x v="1"/>
    <x v="4"/>
    <s v="Pending"/>
    <n v="3.8"/>
    <n v="0.10090815641520517"/>
    <n v="28470.93"/>
    <x v="0"/>
  </r>
  <r>
    <n v="129"/>
    <n v="4079"/>
    <x v="1"/>
    <x v="0"/>
    <n v="43734"/>
    <n v="4"/>
    <n v="174936"/>
    <x v="103"/>
    <x v="3"/>
    <x v="4"/>
    <s v="Pending"/>
    <n v="3.4"/>
    <n v="7.5028524717611011E-2"/>
    <n v="39355.61"/>
    <x v="0"/>
  </r>
  <r>
    <n v="130"/>
    <n v="5663"/>
    <x v="1"/>
    <x v="1"/>
    <n v="2534"/>
    <n v="4"/>
    <n v="10136"/>
    <x v="104"/>
    <x v="2"/>
    <x v="0"/>
    <s v="Delivered"/>
    <n v="1.2"/>
    <n v="0.18278413575374902"/>
    <n v="1188.0999999999999"/>
    <x v="0"/>
  </r>
  <r>
    <n v="131"/>
    <n v="6009"/>
    <x v="4"/>
    <x v="1"/>
    <n v="36603"/>
    <n v="2"/>
    <n v="73206"/>
    <x v="1"/>
    <x v="3"/>
    <x v="0"/>
    <s v="Pending"/>
    <n v="4.2"/>
    <n v="0.18291478840532197"/>
    <n v="8571.34"/>
    <x v="0"/>
  </r>
  <r>
    <n v="132"/>
    <n v="2745"/>
    <x v="4"/>
    <x v="0"/>
    <n v="22584"/>
    <n v="3"/>
    <n v="67752"/>
    <x v="19"/>
    <x v="2"/>
    <x v="2"/>
    <s v="Delivered"/>
    <n v="3.1"/>
    <n v="0.10242826780021254"/>
    <n v="13385.88"/>
    <x v="0"/>
  </r>
  <r>
    <n v="133"/>
    <n v="2550"/>
    <x v="2"/>
    <x v="1"/>
    <n v="33755"/>
    <n v="5"/>
    <n v="168775"/>
    <x v="64"/>
    <x v="3"/>
    <x v="4"/>
    <s v="Pending"/>
    <n v="4"/>
    <n v="0.28813526884905938"/>
    <n v="2002.47"/>
    <x v="1"/>
  </r>
  <r>
    <n v="134"/>
    <n v="5588"/>
    <x v="0"/>
    <x v="1"/>
    <n v="35891"/>
    <n v="5"/>
    <n v="179455"/>
    <x v="31"/>
    <x v="0"/>
    <x v="2"/>
    <s v="Cancelled"/>
    <n v="4.9000000000000004"/>
    <n v="0.17143891226212699"/>
    <n v="23070.93"/>
    <x v="1"/>
  </r>
  <r>
    <n v="135"/>
    <n v="9584"/>
    <x v="3"/>
    <x v="0"/>
    <n v="13480"/>
    <n v="2"/>
    <n v="26960"/>
    <x v="45"/>
    <x v="3"/>
    <x v="0"/>
    <s v="Pending"/>
    <n v="3.2"/>
    <n v="0.27737166172106825"/>
    <n v="610.05999999999995"/>
    <x v="1"/>
  </r>
  <r>
    <n v="136"/>
    <n v="2503"/>
    <x v="2"/>
    <x v="0"/>
    <n v="4744"/>
    <n v="4"/>
    <n v="18976"/>
    <x v="105"/>
    <x v="1"/>
    <x v="4"/>
    <s v="Pending"/>
    <n v="2.7"/>
    <n v="0.23161677908937606"/>
    <n v="1297.6400000000001"/>
    <x v="0"/>
  </r>
  <r>
    <n v="137"/>
    <n v="1965"/>
    <x v="2"/>
    <x v="0"/>
    <n v="11837"/>
    <n v="3"/>
    <n v="35511"/>
    <x v="106"/>
    <x v="3"/>
    <x v="2"/>
    <s v="Pending"/>
    <n v="1.7"/>
    <n v="0.15465348765171355"/>
    <n v="5161.3999999999996"/>
    <x v="1"/>
  </r>
  <r>
    <n v="138"/>
    <n v="8668"/>
    <x v="0"/>
    <x v="1"/>
    <n v="41087"/>
    <n v="4"/>
    <n v="164348"/>
    <x v="93"/>
    <x v="2"/>
    <x v="3"/>
    <s v="Pending"/>
    <n v="1.4"/>
    <n v="0.19596672913573637"/>
    <n v="17097.66"/>
    <x v="1"/>
  </r>
  <r>
    <n v="139"/>
    <n v="1516"/>
    <x v="0"/>
    <x v="1"/>
    <n v="18820"/>
    <n v="1"/>
    <n v="18820"/>
    <x v="107"/>
    <x v="0"/>
    <x v="4"/>
    <s v="Cancelled"/>
    <n v="1.4"/>
    <n v="0.15760892667375132"/>
    <n v="2679.8"/>
    <x v="0"/>
  </r>
  <r>
    <n v="140"/>
    <n v="9008"/>
    <x v="3"/>
    <x v="1"/>
    <n v="28070"/>
    <n v="4"/>
    <n v="112280"/>
    <x v="52"/>
    <x v="0"/>
    <x v="0"/>
    <s v="Cancelled"/>
    <n v="4.4000000000000004"/>
    <n v="0.201371125757036"/>
    <n v="11074.05"/>
    <x v="1"/>
  </r>
  <r>
    <n v="141"/>
    <n v="3183"/>
    <x v="3"/>
    <x v="0"/>
    <n v="18530"/>
    <n v="4"/>
    <n v="74120"/>
    <x v="108"/>
    <x v="2"/>
    <x v="2"/>
    <s v="Pending"/>
    <n v="3"/>
    <n v="9.8528467350242857E-2"/>
    <n v="14933.07"/>
    <x v="1"/>
  </r>
  <r>
    <n v="142"/>
    <n v="8525"/>
    <x v="4"/>
    <x v="2"/>
    <n v="15394"/>
    <n v="4"/>
    <n v="61576"/>
    <x v="109"/>
    <x v="1"/>
    <x v="3"/>
    <s v="Cancelled"/>
    <n v="4.2"/>
    <n v="0.26475558659217879"/>
    <n v="2170.21"/>
    <x v="1"/>
  </r>
  <r>
    <n v="143"/>
    <n v="7729"/>
    <x v="3"/>
    <x v="2"/>
    <n v="37869"/>
    <n v="4"/>
    <n v="151476"/>
    <x v="110"/>
    <x v="3"/>
    <x v="4"/>
    <s v="Delivered"/>
    <n v="3"/>
    <n v="0.24270003168818824"/>
    <n v="8679.57"/>
    <x v="0"/>
  </r>
  <r>
    <n v="144"/>
    <n v="9907"/>
    <x v="2"/>
    <x v="2"/>
    <n v="32116"/>
    <n v="5"/>
    <n v="160580"/>
    <x v="111"/>
    <x v="0"/>
    <x v="3"/>
    <s v="Delivered"/>
    <n v="2"/>
    <n v="0.21317499065886161"/>
    <n v="13942.36"/>
    <x v="1"/>
  </r>
  <r>
    <n v="145"/>
    <n v="4619"/>
    <x v="4"/>
    <x v="0"/>
    <n v="26858"/>
    <n v="4"/>
    <n v="107432"/>
    <x v="112"/>
    <x v="3"/>
    <x v="2"/>
    <s v="Cancelled"/>
    <n v="1"/>
    <n v="0.24521529897981981"/>
    <n v="5885.63"/>
    <x v="0"/>
  </r>
  <r>
    <n v="146"/>
    <n v="4736"/>
    <x v="0"/>
    <x v="1"/>
    <n v="28389"/>
    <n v="2"/>
    <n v="56778"/>
    <x v="101"/>
    <x v="0"/>
    <x v="2"/>
    <s v="Cancelled"/>
    <n v="1.8"/>
    <n v="0.28359540667159816"/>
    <n v="931.42"/>
    <x v="1"/>
  </r>
  <r>
    <n v="147"/>
    <n v="2932"/>
    <x v="2"/>
    <x v="2"/>
    <n v="43060"/>
    <n v="1"/>
    <n v="43060"/>
    <x v="113"/>
    <x v="3"/>
    <x v="3"/>
    <s v="Cancelled"/>
    <n v="1.9"/>
    <n v="0.27310705991639572"/>
    <n v="1158.01"/>
    <x v="0"/>
  </r>
  <r>
    <n v="148"/>
    <n v="5858"/>
    <x v="5"/>
    <x v="2"/>
    <n v="18508"/>
    <n v="1"/>
    <n v="18508"/>
    <x v="114"/>
    <x v="2"/>
    <x v="4"/>
    <s v="Cancelled"/>
    <n v="4.8"/>
    <n v="9.3842122325480865E-2"/>
    <n v="3815.57"/>
    <x v="0"/>
  </r>
  <r>
    <n v="149"/>
    <n v="4599"/>
    <x v="1"/>
    <x v="1"/>
    <n v="47429"/>
    <n v="1"/>
    <n v="47429"/>
    <x v="62"/>
    <x v="3"/>
    <x v="3"/>
    <s v="Cancelled"/>
    <n v="4.8"/>
    <n v="0.22663475932446392"/>
    <n v="3479.64"/>
    <x v="0"/>
  </r>
  <r>
    <n v="150"/>
    <n v="3310"/>
    <x v="5"/>
    <x v="0"/>
    <n v="39569"/>
    <n v="1"/>
    <n v="39569"/>
    <x v="78"/>
    <x v="1"/>
    <x v="0"/>
    <s v="Pending"/>
    <n v="3.7"/>
    <n v="8.9114205564962468E-2"/>
    <n v="8344.5400000000009"/>
    <x v="0"/>
  </r>
  <r>
    <n v="151"/>
    <n v="9276"/>
    <x v="3"/>
    <x v="0"/>
    <n v="6071"/>
    <n v="3"/>
    <n v="18213"/>
    <x v="75"/>
    <x v="1"/>
    <x v="1"/>
    <s v="Pending"/>
    <n v="1.4"/>
    <n v="0.16898369296656235"/>
    <n v="2386.1999999999998"/>
    <x v="0"/>
  </r>
  <r>
    <n v="152"/>
    <n v="7560"/>
    <x v="5"/>
    <x v="0"/>
    <n v="46804"/>
    <n v="2"/>
    <n v="93608"/>
    <x v="115"/>
    <x v="1"/>
    <x v="4"/>
    <s v="Pending"/>
    <n v="3"/>
    <n v="5.1178104435518332E-2"/>
    <n v="23291.72"/>
    <x v="1"/>
  </r>
  <r>
    <n v="153"/>
    <n v="1605"/>
    <x v="5"/>
    <x v="2"/>
    <n v="22549"/>
    <n v="3"/>
    <n v="67647"/>
    <x v="55"/>
    <x v="3"/>
    <x v="2"/>
    <s v="Pending"/>
    <n v="1.5"/>
    <n v="0.24212101054000917"/>
    <n v="3915.34"/>
    <x v="0"/>
  </r>
  <r>
    <n v="154"/>
    <n v="7518"/>
    <x v="5"/>
    <x v="2"/>
    <n v="3967"/>
    <n v="3"/>
    <n v="11901"/>
    <x v="116"/>
    <x v="2"/>
    <x v="3"/>
    <s v="Cancelled"/>
    <n v="1.8"/>
    <n v="0.12979413494664316"/>
    <n v="2025.62"/>
    <x v="0"/>
  </r>
  <r>
    <n v="155"/>
    <n v="8055"/>
    <x v="1"/>
    <x v="0"/>
    <n v="11955"/>
    <n v="3"/>
    <n v="35865"/>
    <x v="106"/>
    <x v="2"/>
    <x v="4"/>
    <s v="Delivered"/>
    <n v="4.4000000000000004"/>
    <n v="0.2898558483200892"/>
    <n v="363.82"/>
    <x v="1"/>
  </r>
  <r>
    <n v="156"/>
    <n v="4227"/>
    <x v="1"/>
    <x v="2"/>
    <n v="2461"/>
    <n v="1"/>
    <n v="2461"/>
    <x v="84"/>
    <x v="0"/>
    <x v="2"/>
    <s v="Cancelled"/>
    <n v="1.2"/>
    <n v="0.16148720032507111"/>
    <n v="340.88"/>
    <x v="0"/>
  </r>
  <r>
    <n v="157"/>
    <n v="4146"/>
    <x v="0"/>
    <x v="2"/>
    <n v="4017"/>
    <n v="4"/>
    <n v="16068"/>
    <x v="117"/>
    <x v="1"/>
    <x v="2"/>
    <s v="Delivered"/>
    <n v="3.2"/>
    <n v="0.29471807318894694"/>
    <n v="84.87"/>
    <x v="0"/>
  </r>
  <r>
    <n v="158"/>
    <n v="7732"/>
    <x v="2"/>
    <x v="0"/>
    <n v="17934"/>
    <n v="2"/>
    <n v="35868"/>
    <x v="118"/>
    <x v="3"/>
    <x v="3"/>
    <s v="Pending"/>
    <n v="3.2"/>
    <n v="0.23350172856027657"/>
    <n v="2385.16"/>
    <x v="0"/>
  </r>
  <r>
    <n v="159"/>
    <n v="4040"/>
    <x v="4"/>
    <x v="1"/>
    <n v="18427"/>
    <n v="4"/>
    <n v="73708"/>
    <x v="119"/>
    <x v="0"/>
    <x v="1"/>
    <s v="Pending"/>
    <n v="3.6"/>
    <n v="0.12152235849568568"/>
    <n v="13155.23"/>
    <x v="0"/>
  </r>
  <r>
    <n v="160"/>
    <n v="6060"/>
    <x v="4"/>
    <x v="1"/>
    <n v="29872"/>
    <n v="2"/>
    <n v="59744"/>
    <x v="120"/>
    <x v="3"/>
    <x v="4"/>
    <s v="Pending"/>
    <n v="2.1"/>
    <n v="0.24372338644884842"/>
    <n v="3362.19"/>
    <x v="0"/>
  </r>
  <r>
    <n v="161"/>
    <n v="5107"/>
    <x v="5"/>
    <x v="2"/>
    <n v="14870"/>
    <n v="3"/>
    <n v="44610"/>
    <x v="56"/>
    <x v="3"/>
    <x v="2"/>
    <s v="Cancelled"/>
    <n v="4.5"/>
    <n v="0.14320399013674065"/>
    <n v="6994.67"/>
    <x v="0"/>
  </r>
  <r>
    <n v="162"/>
    <n v="7167"/>
    <x v="5"/>
    <x v="0"/>
    <n v="18050"/>
    <n v="5"/>
    <n v="90250"/>
    <x v="121"/>
    <x v="2"/>
    <x v="3"/>
    <s v="Pending"/>
    <n v="1.4"/>
    <n v="9.0053518005540165E-2"/>
    <n v="18947.669999999998"/>
    <x v="0"/>
  </r>
  <r>
    <n v="163"/>
    <n v="4793"/>
    <x v="0"/>
    <x v="0"/>
    <n v="42695"/>
    <n v="4"/>
    <n v="170780"/>
    <x v="122"/>
    <x v="0"/>
    <x v="4"/>
    <s v="Delivered"/>
    <n v="1.1000000000000001"/>
    <n v="0.12304754655111841"/>
    <n v="30219.94"/>
    <x v="0"/>
  </r>
  <r>
    <n v="164"/>
    <n v="4141"/>
    <x v="1"/>
    <x v="1"/>
    <n v="39495"/>
    <n v="5"/>
    <n v="197475"/>
    <x v="123"/>
    <x v="1"/>
    <x v="2"/>
    <s v="Delivered"/>
    <n v="3.5"/>
    <n v="5.338498544119509E-2"/>
    <n v="48700.3"/>
    <x v="0"/>
  </r>
  <r>
    <n v="165"/>
    <n v="3091"/>
    <x v="2"/>
    <x v="1"/>
    <n v="23441"/>
    <n v="3"/>
    <n v="70323"/>
    <x v="124"/>
    <x v="3"/>
    <x v="3"/>
    <s v="Delivered"/>
    <n v="4.7"/>
    <n v="0.16843593134536353"/>
    <n v="9251.98"/>
    <x v="1"/>
  </r>
  <r>
    <n v="166"/>
    <n v="7294"/>
    <x v="0"/>
    <x v="1"/>
    <n v="22945"/>
    <n v="5"/>
    <n v="114725"/>
    <x v="125"/>
    <x v="0"/>
    <x v="4"/>
    <s v="Cancelled"/>
    <n v="4.0999999999999996"/>
    <n v="0.11275345391152757"/>
    <n v="21481.86"/>
    <x v="1"/>
  </r>
  <r>
    <n v="167"/>
    <n v="6379"/>
    <x v="3"/>
    <x v="2"/>
    <n v="19450"/>
    <n v="4"/>
    <n v="77800"/>
    <x v="86"/>
    <x v="3"/>
    <x v="1"/>
    <s v="Pending"/>
    <n v="1.5"/>
    <n v="0.28321992287917735"/>
    <n v="1305.49"/>
    <x v="1"/>
  </r>
  <r>
    <n v="168"/>
    <n v="9104"/>
    <x v="2"/>
    <x v="2"/>
    <n v="29666"/>
    <n v="3"/>
    <n v="88998"/>
    <x v="126"/>
    <x v="0"/>
    <x v="1"/>
    <s v="Cancelled"/>
    <n v="3.1"/>
    <n v="0.13367266680150117"/>
    <n v="14802.8"/>
    <x v="0"/>
  </r>
  <r>
    <n v="169"/>
    <n v="9548"/>
    <x v="2"/>
    <x v="0"/>
    <n v="36461"/>
    <n v="1"/>
    <n v="36461"/>
    <x v="127"/>
    <x v="3"/>
    <x v="4"/>
    <s v="Delivered"/>
    <n v="1.3"/>
    <n v="0.22929513726995968"/>
    <n v="2577.9699999999998"/>
    <x v="0"/>
  </r>
  <r>
    <n v="170"/>
    <n v="9565"/>
    <x v="5"/>
    <x v="0"/>
    <n v="20064"/>
    <n v="2"/>
    <n v="40128"/>
    <x v="128"/>
    <x v="0"/>
    <x v="0"/>
    <s v="Pending"/>
    <n v="2"/>
    <n v="5.2458383173843708E-2"/>
    <n v="9933.35"/>
    <x v="0"/>
  </r>
  <r>
    <n v="171"/>
    <n v="5298"/>
    <x v="0"/>
    <x v="1"/>
    <n v="42563"/>
    <n v="3"/>
    <n v="127689"/>
    <x v="35"/>
    <x v="1"/>
    <x v="2"/>
    <s v="Pending"/>
    <n v="4.3"/>
    <n v="0.20877914307418807"/>
    <n v="11647.9"/>
    <x v="0"/>
  </r>
  <r>
    <n v="172"/>
    <n v="7697"/>
    <x v="4"/>
    <x v="1"/>
    <n v="44501"/>
    <n v="4"/>
    <n v="178004"/>
    <x v="129"/>
    <x v="0"/>
    <x v="2"/>
    <s v="Pending"/>
    <n v="1.9"/>
    <n v="7.7785892451855021E-2"/>
    <n v="39555"/>
    <x v="1"/>
  </r>
  <r>
    <n v="173"/>
    <n v="3804"/>
    <x v="4"/>
    <x v="2"/>
    <n v="25250"/>
    <n v="3"/>
    <n v="75750"/>
    <x v="130"/>
    <x v="3"/>
    <x v="2"/>
    <s v="Delivered"/>
    <n v="1.4"/>
    <n v="0.11252066006600661"/>
    <n v="14201.56"/>
    <x v="1"/>
  </r>
  <r>
    <n v="174"/>
    <n v="5742"/>
    <x v="1"/>
    <x v="1"/>
    <n v="40080"/>
    <n v="2"/>
    <n v="80160"/>
    <x v="131"/>
    <x v="3"/>
    <x v="4"/>
    <s v="Pending"/>
    <n v="4.2"/>
    <n v="0.19772891716566868"/>
    <n v="8198.0499999999993"/>
    <x v="0"/>
  </r>
  <r>
    <n v="175"/>
    <n v="2125"/>
    <x v="5"/>
    <x v="0"/>
    <n v="24826"/>
    <n v="5"/>
    <n v="124130"/>
    <x v="132"/>
    <x v="2"/>
    <x v="3"/>
    <s v="Cancelled"/>
    <n v="4.8"/>
    <n v="0.17880029001852896"/>
    <n v="15044.52"/>
    <x v="0"/>
  </r>
  <r>
    <n v="176"/>
    <n v="3090"/>
    <x v="3"/>
    <x v="0"/>
    <n v="39508"/>
    <n v="4"/>
    <n v="158032"/>
    <x v="133"/>
    <x v="3"/>
    <x v="4"/>
    <s v="Delivered"/>
    <n v="2.5"/>
    <n v="0.15712121595626202"/>
    <n v="22579.42"/>
    <x v="0"/>
  </r>
  <r>
    <n v="177"/>
    <n v="8729"/>
    <x v="1"/>
    <x v="2"/>
    <n v="46151"/>
    <n v="2"/>
    <n v="92302"/>
    <x v="134"/>
    <x v="3"/>
    <x v="4"/>
    <s v="Delivered"/>
    <n v="2.2999999999999998"/>
    <n v="8.9516478516175155E-2"/>
    <n v="19428.05"/>
    <x v="1"/>
  </r>
  <r>
    <n v="178"/>
    <n v="3517"/>
    <x v="3"/>
    <x v="0"/>
    <n v="40282"/>
    <n v="5"/>
    <n v="201410"/>
    <x v="94"/>
    <x v="1"/>
    <x v="0"/>
    <s v="Pending"/>
    <n v="2.9"/>
    <n v="0.25922411995432204"/>
    <n v="8212.67"/>
    <x v="1"/>
  </r>
  <r>
    <n v="179"/>
    <n v="6188"/>
    <x v="4"/>
    <x v="0"/>
    <n v="21985"/>
    <n v="3"/>
    <n v="65955"/>
    <x v="135"/>
    <x v="0"/>
    <x v="4"/>
    <s v="Delivered"/>
    <n v="4"/>
    <n v="9.1659768023652485E-2"/>
    <n v="13741.08"/>
    <x v="1"/>
  </r>
  <r>
    <n v="180"/>
    <n v="3942"/>
    <x v="3"/>
    <x v="0"/>
    <n v="13596"/>
    <n v="4"/>
    <n v="54384"/>
    <x v="136"/>
    <x v="2"/>
    <x v="3"/>
    <s v="Delivered"/>
    <n v="2.9"/>
    <n v="0.17348061929979405"/>
    <n v="6880.63"/>
    <x v="1"/>
  </r>
  <r>
    <n v="181"/>
    <n v="8070"/>
    <x v="3"/>
    <x v="0"/>
    <n v="902"/>
    <n v="3"/>
    <n v="2706"/>
    <x v="4"/>
    <x v="2"/>
    <x v="0"/>
    <s v="Delivered"/>
    <n v="4.2"/>
    <n v="0.14255728011825572"/>
    <n v="426.04"/>
    <x v="1"/>
  </r>
  <r>
    <n v="182"/>
    <n v="9065"/>
    <x v="4"/>
    <x v="0"/>
    <n v="44328"/>
    <n v="3"/>
    <n v="132984"/>
    <x v="12"/>
    <x v="1"/>
    <x v="4"/>
    <s v="Pending"/>
    <n v="1.1000000000000001"/>
    <n v="5.3353110148589303E-2"/>
    <n v="32800.089999999997"/>
    <x v="1"/>
  </r>
  <r>
    <n v="183"/>
    <n v="3901"/>
    <x v="1"/>
    <x v="1"/>
    <n v="38153"/>
    <n v="3"/>
    <n v="114459"/>
    <x v="136"/>
    <x v="1"/>
    <x v="2"/>
    <s v="Pending"/>
    <n v="2.8"/>
    <n v="0.15376440472134129"/>
    <n v="16737.98"/>
    <x v="1"/>
  </r>
  <r>
    <n v="184"/>
    <n v="1544"/>
    <x v="3"/>
    <x v="2"/>
    <n v="38360"/>
    <n v="3"/>
    <n v="115080"/>
    <x v="137"/>
    <x v="2"/>
    <x v="0"/>
    <s v="Delivered"/>
    <n v="4.7"/>
    <n v="0.13909384775808134"/>
    <n v="18517.080000000002"/>
    <x v="0"/>
  </r>
  <r>
    <n v="185"/>
    <n v="4889"/>
    <x v="2"/>
    <x v="1"/>
    <n v="9572"/>
    <n v="4"/>
    <n v="38288"/>
    <x v="75"/>
    <x v="0"/>
    <x v="3"/>
    <s v="Cancelled"/>
    <n v="1.9"/>
    <n v="0.18041161721688259"/>
    <n v="4578.8"/>
    <x v="0"/>
  </r>
  <r>
    <n v="186"/>
    <n v="9846"/>
    <x v="4"/>
    <x v="2"/>
    <n v="40026"/>
    <n v="2"/>
    <n v="80052"/>
    <x v="138"/>
    <x v="0"/>
    <x v="3"/>
    <s v="Delivered"/>
    <n v="3.4"/>
    <n v="9.1488282616299405E-2"/>
    <n v="16691.78"/>
    <x v="0"/>
  </r>
  <r>
    <n v="187"/>
    <n v="1638"/>
    <x v="2"/>
    <x v="0"/>
    <n v="15101"/>
    <n v="1"/>
    <n v="15101"/>
    <x v="124"/>
    <x v="3"/>
    <x v="4"/>
    <s v="Cancelled"/>
    <n v="1.6"/>
    <n v="0.20716707502814383"/>
    <n v="1401.87"/>
    <x v="0"/>
  </r>
  <r>
    <n v="188"/>
    <n v="1445"/>
    <x v="2"/>
    <x v="2"/>
    <n v="22330"/>
    <n v="2"/>
    <n v="44660"/>
    <x v="73"/>
    <x v="0"/>
    <x v="3"/>
    <s v="Pending"/>
    <n v="4.9000000000000004"/>
    <n v="0.22381101656963726"/>
    <n v="3402.6"/>
    <x v="1"/>
  </r>
  <r>
    <n v="189"/>
    <n v="9062"/>
    <x v="4"/>
    <x v="2"/>
    <n v="45016"/>
    <n v="2"/>
    <n v="90032"/>
    <x v="139"/>
    <x v="1"/>
    <x v="2"/>
    <s v="Delivered"/>
    <n v="2.7"/>
    <n v="7.7541540785498492E-2"/>
    <n v="20028.38"/>
    <x v="1"/>
  </r>
  <r>
    <n v="190"/>
    <n v="6673"/>
    <x v="3"/>
    <x v="0"/>
    <n v="11507"/>
    <n v="2"/>
    <n v="23014"/>
    <x v="85"/>
    <x v="1"/>
    <x v="1"/>
    <s v="Delivered"/>
    <n v="3.4"/>
    <n v="0.14544147040931607"/>
    <n v="3557.01"/>
    <x v="0"/>
  </r>
  <r>
    <n v="191"/>
    <n v="7016"/>
    <x v="5"/>
    <x v="2"/>
    <n v="9178"/>
    <n v="4"/>
    <n v="36712"/>
    <x v="140"/>
    <x v="2"/>
    <x v="0"/>
    <s v="Delivered"/>
    <n v="1"/>
    <n v="0.13737388319895402"/>
    <n v="5970.33"/>
    <x v="0"/>
  </r>
  <r>
    <n v="192"/>
    <n v="7189"/>
    <x v="3"/>
    <x v="2"/>
    <n v="29135"/>
    <n v="3"/>
    <n v="87405"/>
    <x v="141"/>
    <x v="0"/>
    <x v="1"/>
    <s v="Cancelled"/>
    <n v="4.4000000000000004"/>
    <n v="0.12638098506950404"/>
    <n v="15175.17"/>
    <x v="0"/>
  </r>
  <r>
    <n v="193"/>
    <n v="4195"/>
    <x v="2"/>
    <x v="1"/>
    <n v="46271"/>
    <n v="1"/>
    <n v="46271"/>
    <x v="142"/>
    <x v="3"/>
    <x v="4"/>
    <s v="Cancelled"/>
    <n v="1.1000000000000001"/>
    <n v="0.26768213351775411"/>
    <n v="1495.38"/>
    <x v="0"/>
  </r>
  <r>
    <n v="194"/>
    <n v="3541"/>
    <x v="1"/>
    <x v="1"/>
    <n v="41650"/>
    <n v="5"/>
    <n v="208250"/>
    <x v="143"/>
    <x v="3"/>
    <x v="0"/>
    <s v="Cancelled"/>
    <n v="3.2"/>
    <n v="0.14586482593037214"/>
    <n v="32098.65"/>
    <x v="0"/>
  </r>
  <r>
    <n v="195"/>
    <n v="2533"/>
    <x v="3"/>
    <x v="0"/>
    <n v="44137"/>
    <n v="4"/>
    <n v="176548"/>
    <x v="144"/>
    <x v="3"/>
    <x v="2"/>
    <s v="Cancelled"/>
    <n v="4.5999999999999996"/>
    <n v="5.5644244058273097E-2"/>
    <n v="43140.52"/>
    <x v="0"/>
  </r>
  <r>
    <n v="196"/>
    <n v="7403"/>
    <x v="2"/>
    <x v="2"/>
    <n v="33865"/>
    <n v="3"/>
    <n v="101595"/>
    <x v="0"/>
    <x v="1"/>
    <x v="2"/>
    <s v="Cancelled"/>
    <n v="3.9"/>
    <n v="6.4525124267926573E-2"/>
    <n v="23923.07"/>
    <x v="0"/>
  </r>
  <r>
    <n v="197"/>
    <n v="3226"/>
    <x v="2"/>
    <x v="1"/>
    <n v="16657"/>
    <n v="1"/>
    <n v="16657"/>
    <x v="109"/>
    <x v="2"/>
    <x v="2"/>
    <s v="Pending"/>
    <n v="1.2"/>
    <n v="0.23129915350903524"/>
    <n v="1144.3499999999999"/>
    <x v="1"/>
  </r>
  <r>
    <n v="198"/>
    <n v="7454"/>
    <x v="5"/>
    <x v="0"/>
    <n v="19301"/>
    <n v="2"/>
    <n v="38602"/>
    <x v="145"/>
    <x v="1"/>
    <x v="4"/>
    <s v="Delivered"/>
    <n v="1.6"/>
    <n v="0.22371716491373506"/>
    <n v="2944.67"/>
    <x v="1"/>
  </r>
  <r>
    <n v="199"/>
    <n v="2206"/>
    <x v="5"/>
    <x v="0"/>
    <n v="40705"/>
    <n v="3"/>
    <n v="122115"/>
    <x v="146"/>
    <x v="2"/>
    <x v="0"/>
    <s v="Cancelled"/>
    <n v="3.3"/>
    <n v="5.4082954591982965E-2"/>
    <n v="30030.16"/>
    <x v="0"/>
  </r>
  <r>
    <n v="200"/>
    <n v="8829"/>
    <x v="5"/>
    <x v="0"/>
    <n v="2152"/>
    <n v="4"/>
    <n v="8608"/>
    <x v="51"/>
    <x v="0"/>
    <x v="3"/>
    <s v="Pending"/>
    <n v="2.9"/>
    <n v="0.10431342936802973"/>
    <n v="1684.47"/>
    <x v="0"/>
  </r>
  <r>
    <n v="201"/>
    <n v="2130"/>
    <x v="3"/>
    <x v="0"/>
    <n v="9038"/>
    <n v="1"/>
    <n v="9038"/>
    <x v="147"/>
    <x v="1"/>
    <x v="0"/>
    <s v="Cancelled"/>
    <n v="2.6"/>
    <n v="0.25337685328612525"/>
    <n v="421.38"/>
    <x v="0"/>
  </r>
  <r>
    <n v="202"/>
    <n v="9536"/>
    <x v="2"/>
    <x v="1"/>
    <n v="30437"/>
    <n v="1"/>
    <n v="30437"/>
    <x v="148"/>
    <x v="1"/>
    <x v="4"/>
    <s v="Delivered"/>
    <n v="2.6"/>
    <n v="0.22120215527154449"/>
    <n v="2398.37"/>
    <x v="0"/>
  </r>
  <r>
    <n v="203"/>
    <n v="6733"/>
    <x v="4"/>
    <x v="1"/>
    <n v="13205"/>
    <n v="1"/>
    <n v="13205"/>
    <x v="107"/>
    <x v="3"/>
    <x v="4"/>
    <s v="Cancelled"/>
    <n v="3.4"/>
    <n v="0.15851874290041648"/>
    <n v="1868.26"/>
    <x v="1"/>
  </r>
  <r>
    <n v="204"/>
    <n v="2170"/>
    <x v="3"/>
    <x v="2"/>
    <n v="43774"/>
    <n v="2"/>
    <n v="87548"/>
    <x v="8"/>
    <x v="0"/>
    <x v="1"/>
    <s v="Delivered"/>
    <n v="2"/>
    <n v="8.9682688353817333E-2"/>
    <n v="18412.86"/>
    <x v="0"/>
  </r>
  <r>
    <n v="205"/>
    <n v="2030"/>
    <x v="0"/>
    <x v="0"/>
    <n v="44125"/>
    <n v="4"/>
    <n v="176500"/>
    <x v="73"/>
    <x v="0"/>
    <x v="3"/>
    <s v="Pending"/>
    <n v="1.5"/>
    <n v="9.8454390934844191E-2"/>
    <n v="35572.800000000003"/>
    <x v="1"/>
  </r>
  <r>
    <n v="206"/>
    <n v="8627"/>
    <x v="5"/>
    <x v="1"/>
    <n v="10420"/>
    <n v="2"/>
    <n v="20840"/>
    <x v="149"/>
    <x v="0"/>
    <x v="0"/>
    <s v="Cancelled"/>
    <n v="2.5"/>
    <n v="0.1226415547024952"/>
    <n v="3696.15"/>
    <x v="1"/>
  </r>
  <r>
    <n v="207"/>
    <n v="9889"/>
    <x v="5"/>
    <x v="0"/>
    <n v="38130"/>
    <n v="4"/>
    <n v="152520"/>
    <x v="82"/>
    <x v="1"/>
    <x v="0"/>
    <s v="Pending"/>
    <n v="3.3"/>
    <n v="0.10676219512195123"/>
    <n v="29472.63"/>
    <x v="0"/>
  </r>
  <r>
    <n v="208"/>
    <n v="5336"/>
    <x v="3"/>
    <x v="2"/>
    <n v="38445"/>
    <n v="4"/>
    <n v="153780"/>
    <x v="10"/>
    <x v="1"/>
    <x v="4"/>
    <s v="Pending"/>
    <n v="2"/>
    <n v="0.19368097281831187"/>
    <n v="16349.74"/>
    <x v="0"/>
  </r>
  <r>
    <n v="209"/>
    <n v="5074"/>
    <x v="0"/>
    <x v="2"/>
    <n v="21086"/>
    <n v="3"/>
    <n v="63258"/>
    <x v="150"/>
    <x v="0"/>
    <x v="2"/>
    <s v="Cancelled"/>
    <n v="4"/>
    <n v="7.2949824528122917E-2"/>
    <n v="14362.74"/>
    <x v="1"/>
  </r>
  <r>
    <n v="210"/>
    <n v="5161"/>
    <x v="3"/>
    <x v="2"/>
    <n v="11063"/>
    <n v="5"/>
    <n v="55315"/>
    <x v="81"/>
    <x v="0"/>
    <x v="3"/>
    <s v="Cancelled"/>
    <n v="4.5999999999999996"/>
    <n v="0.133270360661665"/>
    <n v="9222.65"/>
    <x v="0"/>
  </r>
  <r>
    <n v="211"/>
    <n v="9483"/>
    <x v="4"/>
    <x v="0"/>
    <n v="10110"/>
    <n v="4"/>
    <n v="40440"/>
    <x v="108"/>
    <x v="1"/>
    <x v="2"/>
    <s v="Delivered"/>
    <n v="3.5"/>
    <n v="5.152101879327399E-2"/>
    <n v="10048.49"/>
    <x v="0"/>
  </r>
  <r>
    <n v="212"/>
    <n v="3352"/>
    <x v="1"/>
    <x v="0"/>
    <n v="45807"/>
    <n v="1"/>
    <n v="45807"/>
    <x v="151"/>
    <x v="0"/>
    <x v="0"/>
    <s v="Pending"/>
    <n v="1.3"/>
    <n v="0.23478398498046149"/>
    <n v="2987.35"/>
    <x v="0"/>
  </r>
  <r>
    <n v="213"/>
    <n v="8988"/>
    <x v="0"/>
    <x v="2"/>
    <n v="36842"/>
    <n v="3"/>
    <n v="110526"/>
    <x v="0"/>
    <x v="0"/>
    <x v="3"/>
    <s v="Pending"/>
    <n v="2.6"/>
    <n v="7.4633751334527612E-2"/>
    <n v="24908.83"/>
    <x v="0"/>
  </r>
  <r>
    <n v="214"/>
    <n v="8355"/>
    <x v="3"/>
    <x v="2"/>
    <n v="47496"/>
    <n v="5"/>
    <n v="237480"/>
    <x v="152"/>
    <x v="1"/>
    <x v="0"/>
    <s v="Pending"/>
    <n v="4.5"/>
    <n v="9.8092302509685023E-2"/>
    <n v="47949.04"/>
    <x v="0"/>
  </r>
  <r>
    <n v="215"/>
    <n v="9041"/>
    <x v="2"/>
    <x v="2"/>
    <n v="6076"/>
    <n v="1"/>
    <n v="6076"/>
    <x v="153"/>
    <x v="0"/>
    <x v="0"/>
    <s v="Cancelled"/>
    <n v="2.1"/>
    <n v="0.28328670177748516"/>
    <n v="101.55"/>
    <x v="1"/>
  </r>
  <r>
    <n v="216"/>
    <n v="1583"/>
    <x v="0"/>
    <x v="2"/>
    <n v="3509"/>
    <n v="2"/>
    <n v="7018"/>
    <x v="154"/>
    <x v="2"/>
    <x v="0"/>
    <s v="Delivered"/>
    <n v="4.5999999999999996"/>
    <n v="0.11055856369335992"/>
    <n v="1329.5"/>
    <x v="0"/>
  </r>
  <r>
    <n v="217"/>
    <n v="2994"/>
    <x v="5"/>
    <x v="1"/>
    <n v="22170"/>
    <n v="2"/>
    <n v="44340"/>
    <x v="37"/>
    <x v="0"/>
    <x v="3"/>
    <s v="Cancelled"/>
    <n v="2.5"/>
    <n v="0.1322893549842129"/>
    <n v="7436.29"/>
    <x v="1"/>
  </r>
  <r>
    <n v="218"/>
    <n v="5558"/>
    <x v="3"/>
    <x v="0"/>
    <n v="38981"/>
    <n v="4"/>
    <n v="155924"/>
    <x v="155"/>
    <x v="0"/>
    <x v="1"/>
    <s v="Delivered"/>
    <n v="1.8"/>
    <n v="0.12766719683948591"/>
    <n v="26870.82"/>
    <x v="0"/>
  </r>
  <r>
    <n v="219"/>
    <n v="9223"/>
    <x v="5"/>
    <x v="1"/>
    <n v="2164"/>
    <n v="4"/>
    <n v="8656"/>
    <x v="88"/>
    <x v="0"/>
    <x v="3"/>
    <s v="Pending"/>
    <n v="3.4"/>
    <n v="0.22587107208872459"/>
    <n v="641.66"/>
    <x v="0"/>
  </r>
  <r>
    <n v="220"/>
    <n v="2042"/>
    <x v="1"/>
    <x v="1"/>
    <n v="572"/>
    <n v="4"/>
    <n v="2288"/>
    <x v="23"/>
    <x v="1"/>
    <x v="3"/>
    <s v="Cancelled"/>
    <n v="1.8"/>
    <n v="0.16369755244755246"/>
    <n v="311.86"/>
    <x v="0"/>
  </r>
  <r>
    <n v="221"/>
    <n v="3318"/>
    <x v="0"/>
    <x v="0"/>
    <n v="25462"/>
    <n v="5"/>
    <n v="127310"/>
    <x v="156"/>
    <x v="3"/>
    <x v="1"/>
    <s v="Delivered"/>
    <n v="4.9000000000000004"/>
    <n v="0.16025983819024428"/>
    <n v="17790.32"/>
    <x v="1"/>
  </r>
  <r>
    <n v="222"/>
    <n v="5821"/>
    <x v="3"/>
    <x v="0"/>
    <n v="43175"/>
    <n v="2"/>
    <n v="86350"/>
    <x v="104"/>
    <x v="3"/>
    <x v="1"/>
    <s v="Pending"/>
    <n v="2.4"/>
    <n v="0.27035066589461493"/>
    <n v="2560.2199999999998"/>
    <x v="0"/>
  </r>
  <r>
    <n v="223"/>
    <n v="1313"/>
    <x v="5"/>
    <x v="1"/>
    <n v="12844"/>
    <n v="1"/>
    <n v="12844"/>
    <x v="80"/>
    <x v="0"/>
    <x v="4"/>
    <s v="Delivered"/>
    <n v="3.5"/>
    <n v="0.12404469012768608"/>
    <n v="2259.9699999999998"/>
    <x v="1"/>
  </r>
  <r>
    <n v="224"/>
    <n v="2560"/>
    <x v="2"/>
    <x v="0"/>
    <n v="15570"/>
    <n v="1"/>
    <n v="15570"/>
    <x v="4"/>
    <x v="0"/>
    <x v="0"/>
    <s v="Pending"/>
    <n v="2.9"/>
    <n v="0.22718497109826588"/>
    <n v="1133.73"/>
    <x v="0"/>
  </r>
  <r>
    <n v="225"/>
    <n v="6991"/>
    <x v="1"/>
    <x v="0"/>
    <n v="20968"/>
    <n v="2"/>
    <n v="41936"/>
    <x v="157"/>
    <x v="2"/>
    <x v="1"/>
    <s v="Delivered"/>
    <n v="1.4"/>
    <n v="6.8174837848149566E-2"/>
    <n v="9721.82"/>
    <x v="0"/>
  </r>
  <r>
    <n v="226"/>
    <n v="6388"/>
    <x v="3"/>
    <x v="0"/>
    <n v="24581"/>
    <n v="5"/>
    <n v="122905"/>
    <x v="158"/>
    <x v="3"/>
    <x v="3"/>
    <s v="Cancelled"/>
    <n v="1.1000000000000001"/>
    <n v="0.28331866075424106"/>
    <n v="2050.2199999999998"/>
    <x v="0"/>
  </r>
  <r>
    <n v="227"/>
    <n v="9527"/>
    <x v="3"/>
    <x v="1"/>
    <n v="48013"/>
    <n v="4"/>
    <n v="192052"/>
    <x v="159"/>
    <x v="0"/>
    <x v="1"/>
    <s v="Cancelled"/>
    <n v="4"/>
    <n v="7.5807593776685486E-2"/>
    <n v="43056.6"/>
    <x v="0"/>
  </r>
  <r>
    <n v="228"/>
    <n v="2062"/>
    <x v="4"/>
    <x v="0"/>
    <n v="18146"/>
    <n v="5"/>
    <n v="90730"/>
    <x v="72"/>
    <x v="3"/>
    <x v="4"/>
    <s v="Cancelled"/>
    <n v="2"/>
    <n v="0.16494930012123885"/>
    <n v="12253.15"/>
    <x v="1"/>
  </r>
  <r>
    <n v="229"/>
    <n v="6810"/>
    <x v="0"/>
    <x v="2"/>
    <n v="26182"/>
    <n v="1"/>
    <n v="26182"/>
    <x v="31"/>
    <x v="0"/>
    <x v="4"/>
    <s v="Cancelled"/>
    <n v="3.5"/>
    <n v="0.15327285921625544"/>
    <n v="3841.61"/>
    <x v="0"/>
  </r>
  <r>
    <n v="230"/>
    <n v="8598"/>
    <x v="1"/>
    <x v="0"/>
    <n v="42547"/>
    <n v="3"/>
    <n v="127641"/>
    <x v="27"/>
    <x v="3"/>
    <x v="2"/>
    <s v="Delivered"/>
    <n v="1.8"/>
    <n v="0.22488902468642522"/>
    <n v="9587.24"/>
    <x v="1"/>
  </r>
  <r>
    <n v="231"/>
    <n v="7510"/>
    <x v="3"/>
    <x v="0"/>
    <n v="1637"/>
    <n v="2"/>
    <n v="3274"/>
    <x v="96"/>
    <x v="0"/>
    <x v="1"/>
    <s v="Cancelled"/>
    <n v="3.6"/>
    <n v="0.19422113622480147"/>
    <n v="346.32"/>
    <x v="0"/>
  </r>
  <r>
    <n v="232"/>
    <n v="8626"/>
    <x v="1"/>
    <x v="0"/>
    <n v="20727"/>
    <n v="4"/>
    <n v="82908"/>
    <x v="144"/>
    <x v="2"/>
    <x v="4"/>
    <s v="Delivered"/>
    <n v="3.2"/>
    <n v="0.24855140637815412"/>
    <n v="4265.5"/>
    <x v="1"/>
  </r>
  <r>
    <n v="233"/>
    <n v="2723"/>
    <x v="5"/>
    <x v="0"/>
    <n v="34087"/>
    <n v="2"/>
    <n v="68174"/>
    <x v="160"/>
    <x v="1"/>
    <x v="1"/>
    <s v="Cancelled"/>
    <n v="3.3"/>
    <n v="0.29034514624343594"/>
    <n v="658.21"/>
    <x v="0"/>
  </r>
  <r>
    <n v="234"/>
    <n v="7651"/>
    <x v="3"/>
    <x v="1"/>
    <n v="23779"/>
    <n v="2"/>
    <n v="47558"/>
    <x v="161"/>
    <x v="3"/>
    <x v="3"/>
    <s v="Delivered"/>
    <n v="3"/>
    <n v="0.17072038353168761"/>
    <n v="6148.28"/>
    <x v="1"/>
  </r>
  <r>
    <n v="235"/>
    <n v="5715"/>
    <x v="3"/>
    <x v="1"/>
    <n v="11892"/>
    <n v="1"/>
    <n v="11892"/>
    <x v="148"/>
    <x v="1"/>
    <x v="0"/>
    <s v="Cancelled"/>
    <n v="2.5"/>
    <n v="0.29857635385132864"/>
    <n v="16.93"/>
    <x v="1"/>
  </r>
  <r>
    <n v="236"/>
    <n v="1857"/>
    <x v="2"/>
    <x v="2"/>
    <n v="22939"/>
    <n v="2"/>
    <n v="45878"/>
    <x v="162"/>
    <x v="1"/>
    <x v="4"/>
    <s v="Cancelled"/>
    <n v="2.1"/>
    <n v="0.15908213086882603"/>
    <n v="6465.03"/>
    <x v="0"/>
  </r>
  <r>
    <n v="237"/>
    <n v="4433"/>
    <x v="2"/>
    <x v="0"/>
    <n v="36061"/>
    <n v="1"/>
    <n v="36061"/>
    <x v="150"/>
    <x v="0"/>
    <x v="4"/>
    <s v="Pending"/>
    <n v="3.6"/>
    <n v="0.29714178752669085"/>
    <n v="103.07"/>
    <x v="1"/>
  </r>
  <r>
    <n v="238"/>
    <n v="4722"/>
    <x v="4"/>
    <x v="0"/>
    <n v="14054"/>
    <n v="1"/>
    <n v="14054"/>
    <x v="163"/>
    <x v="1"/>
    <x v="3"/>
    <s v="Delivered"/>
    <n v="2.9"/>
    <n v="0.20250960580617619"/>
    <n v="1370.13"/>
    <x v="1"/>
  </r>
  <r>
    <n v="239"/>
    <n v="6640"/>
    <x v="1"/>
    <x v="1"/>
    <n v="4689"/>
    <n v="1"/>
    <n v="4689"/>
    <x v="164"/>
    <x v="3"/>
    <x v="0"/>
    <s v="Delivered"/>
    <n v="1.3"/>
    <n v="9.3378119001919391E-2"/>
    <n v="968.85"/>
    <x v="0"/>
  </r>
  <r>
    <n v="240"/>
    <n v="5507"/>
    <x v="0"/>
    <x v="0"/>
    <n v="35539"/>
    <n v="5"/>
    <n v="177695"/>
    <x v="165"/>
    <x v="3"/>
    <x v="2"/>
    <s v="Cancelled"/>
    <n v="2"/>
    <n v="0.19073817496271703"/>
    <n v="19415.28"/>
    <x v="1"/>
  </r>
  <r>
    <n v="241"/>
    <n v="6951"/>
    <x v="4"/>
    <x v="2"/>
    <n v="36203"/>
    <n v="3"/>
    <n v="108609"/>
    <x v="166"/>
    <x v="2"/>
    <x v="2"/>
    <s v="Pending"/>
    <n v="2.6"/>
    <n v="0.14046156395878795"/>
    <n v="17327.310000000001"/>
    <x v="1"/>
  </r>
  <r>
    <n v="242"/>
    <n v="2173"/>
    <x v="3"/>
    <x v="0"/>
    <n v="34263"/>
    <n v="4"/>
    <n v="137052"/>
    <x v="167"/>
    <x v="0"/>
    <x v="2"/>
    <s v="Pending"/>
    <n v="1.3"/>
    <n v="6.5341330297989081E-2"/>
    <n v="32160.44"/>
    <x v="1"/>
  </r>
  <r>
    <n v="243"/>
    <n v="7969"/>
    <x v="5"/>
    <x v="2"/>
    <n v="16066"/>
    <n v="2"/>
    <n v="32132"/>
    <x v="168"/>
    <x v="0"/>
    <x v="4"/>
    <s v="Cancelled"/>
    <n v="1.7"/>
    <n v="0.2201889082534545"/>
    <n v="2564.4899999999998"/>
    <x v="1"/>
  </r>
  <r>
    <n v="244"/>
    <n v="5908"/>
    <x v="3"/>
    <x v="2"/>
    <n v="26283"/>
    <n v="2"/>
    <n v="52566"/>
    <x v="130"/>
    <x v="0"/>
    <x v="0"/>
    <s v="Cancelled"/>
    <n v="4.0999999999999996"/>
    <n v="0.13337347334779134"/>
    <n v="8758.89"/>
    <x v="1"/>
  </r>
  <r>
    <n v="245"/>
    <n v="5887"/>
    <x v="0"/>
    <x v="1"/>
    <n v="35268"/>
    <n v="2"/>
    <n v="70536"/>
    <x v="156"/>
    <x v="3"/>
    <x v="4"/>
    <s v="Cancelled"/>
    <n v="2.8"/>
    <n v="0.2076317057956221"/>
    <n v="6515.29"/>
    <x v="0"/>
  </r>
  <r>
    <n v="246"/>
    <n v="2416"/>
    <x v="2"/>
    <x v="1"/>
    <n v="29218"/>
    <n v="5"/>
    <n v="146090"/>
    <x v="169"/>
    <x v="0"/>
    <x v="4"/>
    <s v="Delivered"/>
    <n v="2.2999999999999998"/>
    <n v="0.20909555753302758"/>
    <n v="13280.23"/>
    <x v="0"/>
  </r>
  <r>
    <n v="247"/>
    <n v="1138"/>
    <x v="5"/>
    <x v="2"/>
    <n v="40967"/>
    <n v="1"/>
    <n v="40967"/>
    <x v="145"/>
    <x v="0"/>
    <x v="4"/>
    <s v="Pending"/>
    <n v="2.8"/>
    <n v="8.7203358800986161E-2"/>
    <n v="8717.64"/>
    <x v="1"/>
  </r>
  <r>
    <n v="248"/>
    <n v="5790"/>
    <x v="0"/>
    <x v="2"/>
    <n v="34189"/>
    <n v="2"/>
    <n v="68378"/>
    <x v="170"/>
    <x v="0"/>
    <x v="0"/>
    <s v="Delivered"/>
    <n v="4"/>
    <n v="0.17361300418263184"/>
    <n v="8642.09"/>
    <x v="0"/>
  </r>
  <r>
    <n v="249"/>
    <n v="2652"/>
    <x v="3"/>
    <x v="0"/>
    <n v="19784"/>
    <n v="2"/>
    <n v="39568"/>
    <x v="120"/>
    <x v="2"/>
    <x v="4"/>
    <s v="Pending"/>
    <n v="4.4000000000000004"/>
    <n v="0.19110695511524464"/>
    <n v="4308.68"/>
    <x v="1"/>
  </r>
  <r>
    <n v="250"/>
    <n v="5560"/>
    <x v="2"/>
    <x v="2"/>
    <n v="47241"/>
    <n v="5"/>
    <n v="236205"/>
    <x v="171"/>
    <x v="1"/>
    <x v="1"/>
    <s v="Cancelled"/>
    <n v="4.7"/>
    <n v="8.5776169005736536E-2"/>
    <n v="50600.74"/>
    <x v="1"/>
  </r>
  <r>
    <n v="251"/>
    <n v="2102"/>
    <x v="2"/>
    <x v="0"/>
    <n v="47711"/>
    <n v="3"/>
    <n v="143133"/>
    <x v="172"/>
    <x v="2"/>
    <x v="0"/>
    <s v="Pending"/>
    <n v="2.6"/>
    <n v="9.4287760334793511E-2"/>
    <n v="29444.21"/>
    <x v="0"/>
  </r>
  <r>
    <n v="252"/>
    <n v="7123"/>
    <x v="2"/>
    <x v="0"/>
    <n v="20989"/>
    <n v="4"/>
    <n v="83956"/>
    <x v="173"/>
    <x v="1"/>
    <x v="4"/>
    <s v="Cancelled"/>
    <n v="3.1"/>
    <n v="0.22609676497212827"/>
    <n v="6204.62"/>
    <x v="0"/>
  </r>
  <r>
    <n v="253"/>
    <n v="8159"/>
    <x v="4"/>
    <x v="1"/>
    <n v="49629"/>
    <n v="1"/>
    <n v="49629"/>
    <x v="174"/>
    <x v="2"/>
    <x v="2"/>
    <s v="Cancelled"/>
    <n v="3.7"/>
    <n v="0.28998166394648289"/>
    <n v="497.2"/>
    <x v="1"/>
  </r>
  <r>
    <n v="254"/>
    <n v="5245"/>
    <x v="1"/>
    <x v="1"/>
    <n v="26044"/>
    <n v="3"/>
    <n v="78132"/>
    <x v="175"/>
    <x v="2"/>
    <x v="1"/>
    <s v="Pending"/>
    <n v="4.9000000000000004"/>
    <n v="0.18319280192494752"/>
    <n v="9126.3799999999992"/>
    <x v="0"/>
  </r>
  <r>
    <n v="255"/>
    <n v="5020"/>
    <x v="3"/>
    <x v="0"/>
    <n v="41347"/>
    <n v="2"/>
    <n v="82694"/>
    <x v="101"/>
    <x v="1"/>
    <x v="1"/>
    <s v="Pending"/>
    <n v="1.5"/>
    <n v="0.26632923791327062"/>
    <n v="2784.37"/>
    <x v="1"/>
  </r>
  <r>
    <n v="256"/>
    <n v="1213"/>
    <x v="2"/>
    <x v="1"/>
    <n v="1737"/>
    <n v="3"/>
    <n v="5211"/>
    <x v="176"/>
    <x v="2"/>
    <x v="2"/>
    <s v="Pending"/>
    <n v="3.3"/>
    <n v="0.11938207637689503"/>
    <n v="941.2"/>
    <x v="0"/>
  </r>
  <r>
    <n v="257"/>
    <n v="5257"/>
    <x v="4"/>
    <x v="1"/>
    <n v="20244"/>
    <n v="3"/>
    <n v="60732"/>
    <x v="177"/>
    <x v="2"/>
    <x v="0"/>
    <s v="Pending"/>
    <n v="3.6"/>
    <n v="0.13363218731475993"/>
    <n v="10103.85"/>
    <x v="0"/>
  </r>
  <r>
    <n v="258"/>
    <n v="8903"/>
    <x v="4"/>
    <x v="1"/>
    <n v="49128"/>
    <n v="2"/>
    <n v="98256"/>
    <x v="80"/>
    <x v="2"/>
    <x v="3"/>
    <s v="Pending"/>
    <n v="4.0999999999999996"/>
    <n v="0.18905379824132876"/>
    <n v="10901.13"/>
    <x v="0"/>
  </r>
  <r>
    <n v="259"/>
    <n v="9754"/>
    <x v="5"/>
    <x v="0"/>
    <n v="17381"/>
    <n v="1"/>
    <n v="17381"/>
    <x v="148"/>
    <x v="0"/>
    <x v="2"/>
    <s v="Cancelled"/>
    <n v="2.5"/>
    <n v="0.24250388355100397"/>
    <n v="999.34"/>
    <x v="0"/>
  </r>
  <r>
    <n v="260"/>
    <n v="9148"/>
    <x v="5"/>
    <x v="0"/>
    <n v="13727"/>
    <n v="4"/>
    <n v="54908"/>
    <x v="178"/>
    <x v="2"/>
    <x v="3"/>
    <s v="Cancelled"/>
    <n v="2"/>
    <n v="0.22874954469294093"/>
    <n v="3912.22"/>
    <x v="0"/>
  </r>
  <r>
    <n v="261"/>
    <n v="8144"/>
    <x v="0"/>
    <x v="0"/>
    <n v="30014"/>
    <n v="5"/>
    <n v="150070"/>
    <x v="56"/>
    <x v="0"/>
    <x v="4"/>
    <s v="Cancelled"/>
    <n v="4.9000000000000004"/>
    <n v="0.28477883654294661"/>
    <n v="2284.2399999999998"/>
    <x v="0"/>
  </r>
  <r>
    <n v="262"/>
    <n v="2922"/>
    <x v="2"/>
    <x v="1"/>
    <n v="14936"/>
    <n v="2"/>
    <n v="29872"/>
    <x v="84"/>
    <x v="1"/>
    <x v="4"/>
    <s v="Cancelled"/>
    <n v="2.8"/>
    <n v="0.17816148901981788"/>
    <n v="3639.56"/>
    <x v="0"/>
  </r>
  <r>
    <n v="263"/>
    <n v="6483"/>
    <x v="5"/>
    <x v="0"/>
    <n v="9129"/>
    <n v="4"/>
    <n v="36516"/>
    <x v="179"/>
    <x v="1"/>
    <x v="2"/>
    <s v="Pending"/>
    <n v="2.5"/>
    <n v="6.8396593274181183E-2"/>
    <n v="8457.23"/>
    <x v="1"/>
  </r>
  <r>
    <n v="264"/>
    <n v="2109"/>
    <x v="3"/>
    <x v="0"/>
    <n v="20389"/>
    <n v="1"/>
    <n v="20389"/>
    <x v="180"/>
    <x v="0"/>
    <x v="4"/>
    <s v="Pending"/>
    <n v="3.4"/>
    <n v="6.1500318799352596E-2"/>
    <n v="4862.7700000000004"/>
    <x v="0"/>
  </r>
  <r>
    <n v="265"/>
    <n v="7639"/>
    <x v="4"/>
    <x v="2"/>
    <n v="42961"/>
    <n v="3"/>
    <n v="128883"/>
    <x v="181"/>
    <x v="0"/>
    <x v="2"/>
    <s v="Delivered"/>
    <n v="3.4"/>
    <n v="0.10171147474841523"/>
    <n v="25556.02"/>
    <x v="0"/>
  </r>
  <r>
    <n v="266"/>
    <n v="1259"/>
    <x v="2"/>
    <x v="1"/>
    <n v="20316"/>
    <n v="1"/>
    <n v="20316"/>
    <x v="82"/>
    <x v="0"/>
    <x v="3"/>
    <s v="Pending"/>
    <n v="3.8"/>
    <n v="0.26299517621579049"/>
    <n v="751.79"/>
    <x v="0"/>
  </r>
  <r>
    <n v="267"/>
    <n v="8633"/>
    <x v="0"/>
    <x v="1"/>
    <n v="41664"/>
    <n v="1"/>
    <n v="41664"/>
    <x v="172"/>
    <x v="3"/>
    <x v="4"/>
    <s v="Cancelled"/>
    <n v="4.4000000000000004"/>
    <n v="0.1880981182795699"/>
    <n v="4662.28"/>
    <x v="0"/>
  </r>
  <r>
    <n v="268"/>
    <n v="8952"/>
    <x v="1"/>
    <x v="0"/>
    <n v="37937"/>
    <n v="4"/>
    <n v="151748"/>
    <x v="182"/>
    <x v="2"/>
    <x v="3"/>
    <s v="Delivered"/>
    <n v="3.3"/>
    <n v="0.27067243060864066"/>
    <n v="4450.3999999999996"/>
    <x v="1"/>
  </r>
  <r>
    <n v="269"/>
    <n v="3350"/>
    <x v="0"/>
    <x v="2"/>
    <n v="37778"/>
    <n v="5"/>
    <n v="188890"/>
    <x v="183"/>
    <x v="0"/>
    <x v="0"/>
    <s v="Cancelled"/>
    <n v="2.4"/>
    <n v="0.28150521467520778"/>
    <n v="3493.48"/>
    <x v="1"/>
  </r>
  <r>
    <n v="270"/>
    <n v="7056"/>
    <x v="0"/>
    <x v="1"/>
    <n v="21663"/>
    <n v="1"/>
    <n v="21663"/>
    <x v="31"/>
    <x v="1"/>
    <x v="3"/>
    <s v="Cancelled"/>
    <n v="2.4"/>
    <n v="0.1578331717675299"/>
    <n v="3079.76"/>
    <x v="1"/>
  </r>
  <r>
    <n v="271"/>
    <n v="6568"/>
    <x v="5"/>
    <x v="2"/>
    <n v="30372"/>
    <n v="1"/>
    <n v="30372"/>
    <x v="80"/>
    <x v="2"/>
    <x v="2"/>
    <s v="Delivered"/>
    <n v="3.8"/>
    <n v="6.1592914526537604E-2"/>
    <n v="7240.9"/>
    <x v="1"/>
  </r>
  <r>
    <n v="272"/>
    <n v="3238"/>
    <x v="5"/>
    <x v="2"/>
    <n v="25117"/>
    <n v="1"/>
    <n v="25117"/>
    <x v="31"/>
    <x v="0"/>
    <x v="4"/>
    <s v="Pending"/>
    <n v="4.5999999999999996"/>
    <n v="7.7411713182306802E-2"/>
    <n v="5590.75"/>
    <x v="1"/>
  </r>
  <r>
    <n v="273"/>
    <n v="5302"/>
    <x v="0"/>
    <x v="2"/>
    <n v="5301"/>
    <n v="5"/>
    <n v="26505"/>
    <x v="171"/>
    <x v="0"/>
    <x v="3"/>
    <s v="Delivered"/>
    <n v="4.3"/>
    <n v="9.6180343331446899E-2"/>
    <n v="5402.24"/>
    <x v="0"/>
  </r>
  <r>
    <n v="274"/>
    <n v="2985"/>
    <x v="0"/>
    <x v="1"/>
    <n v="46840"/>
    <n v="5"/>
    <n v="234200"/>
    <x v="20"/>
    <x v="0"/>
    <x v="1"/>
    <s v="Delivered"/>
    <n v="3"/>
    <n v="0.20096187019641332"/>
    <n v="23194.73"/>
    <x v="0"/>
  </r>
  <r>
    <n v="275"/>
    <n v="2702"/>
    <x v="5"/>
    <x v="0"/>
    <n v="43197"/>
    <n v="3"/>
    <n v="129591"/>
    <x v="184"/>
    <x v="2"/>
    <x v="1"/>
    <s v="Pending"/>
    <n v="1.7"/>
    <n v="0.13967227662414827"/>
    <n v="20777.03"/>
    <x v="0"/>
  </r>
  <r>
    <n v="276"/>
    <n v="7871"/>
    <x v="4"/>
    <x v="0"/>
    <n v="27830"/>
    <n v="5"/>
    <n v="139150"/>
    <x v="30"/>
    <x v="0"/>
    <x v="0"/>
    <s v="Delivered"/>
    <n v="3.1"/>
    <n v="0.22993309378368665"/>
    <n v="9749.81"/>
    <x v="0"/>
  </r>
  <r>
    <n v="277"/>
    <n v="7908"/>
    <x v="0"/>
    <x v="0"/>
    <n v="4258"/>
    <n v="4"/>
    <n v="17032"/>
    <x v="34"/>
    <x v="0"/>
    <x v="4"/>
    <s v="Pending"/>
    <n v="4.4000000000000004"/>
    <n v="0.19769727571629872"/>
    <n v="1742.42"/>
    <x v="1"/>
  </r>
  <r>
    <n v="278"/>
    <n v="5555"/>
    <x v="4"/>
    <x v="0"/>
    <n v="8140"/>
    <n v="1"/>
    <n v="8140"/>
    <x v="174"/>
    <x v="0"/>
    <x v="0"/>
    <s v="Cancelled"/>
    <n v="2.8"/>
    <n v="0.10111793611793612"/>
    <n v="1618.9"/>
    <x v="0"/>
  </r>
  <r>
    <n v="279"/>
    <n v="7428"/>
    <x v="5"/>
    <x v="2"/>
    <n v="18666"/>
    <n v="3"/>
    <n v="55998"/>
    <x v="185"/>
    <x v="3"/>
    <x v="2"/>
    <s v="Delivered"/>
    <n v="4.9000000000000004"/>
    <n v="0.11627968856030572"/>
    <n v="10287.969999999999"/>
    <x v="1"/>
  </r>
  <r>
    <n v="280"/>
    <n v="4700"/>
    <x v="5"/>
    <x v="2"/>
    <n v="15265"/>
    <n v="3"/>
    <n v="45795"/>
    <x v="186"/>
    <x v="2"/>
    <x v="2"/>
    <s v="Delivered"/>
    <n v="4.7"/>
    <n v="0.26600589584015721"/>
    <n v="1556.76"/>
    <x v="0"/>
  </r>
  <r>
    <n v="281"/>
    <n v="1919"/>
    <x v="5"/>
    <x v="1"/>
    <n v="48061"/>
    <n v="3"/>
    <n v="144183"/>
    <x v="187"/>
    <x v="0"/>
    <x v="4"/>
    <s v="Pending"/>
    <n v="4.3"/>
    <n v="6.8364786417261403E-2"/>
    <n v="33397.86"/>
    <x v="0"/>
  </r>
  <r>
    <n v="282"/>
    <n v="2245"/>
    <x v="2"/>
    <x v="2"/>
    <n v="5983"/>
    <n v="2"/>
    <n v="11966"/>
    <x v="188"/>
    <x v="3"/>
    <x v="4"/>
    <s v="Cancelled"/>
    <n v="1.5"/>
    <n v="0.24456877820491393"/>
    <n v="663.29"/>
    <x v="0"/>
  </r>
  <r>
    <n v="283"/>
    <n v="4525"/>
    <x v="5"/>
    <x v="1"/>
    <n v="13761"/>
    <n v="4"/>
    <n v="55044"/>
    <x v="30"/>
    <x v="1"/>
    <x v="2"/>
    <s v="Delivered"/>
    <n v="3"/>
    <n v="0.24395138434706778"/>
    <n v="3085.14"/>
    <x v="0"/>
  </r>
  <r>
    <n v="284"/>
    <n v="2811"/>
    <x v="5"/>
    <x v="1"/>
    <n v="38932"/>
    <n v="4"/>
    <n v="155728"/>
    <x v="189"/>
    <x v="0"/>
    <x v="4"/>
    <s v="Pending"/>
    <n v="1.8"/>
    <n v="0.29387220024658378"/>
    <n v="954.27"/>
    <x v="1"/>
  </r>
  <r>
    <n v="285"/>
    <n v="9086"/>
    <x v="2"/>
    <x v="2"/>
    <n v="32924"/>
    <n v="4"/>
    <n v="131696"/>
    <x v="5"/>
    <x v="2"/>
    <x v="2"/>
    <s v="Cancelled"/>
    <n v="4.2"/>
    <n v="0.23395441015672458"/>
    <n v="8697.94"/>
    <x v="1"/>
  </r>
  <r>
    <n v="286"/>
    <n v="8115"/>
    <x v="3"/>
    <x v="2"/>
    <n v="22748"/>
    <n v="3"/>
    <n v="68244"/>
    <x v="2"/>
    <x v="0"/>
    <x v="4"/>
    <s v="Pending"/>
    <n v="3.9"/>
    <n v="5.322504542523885E-2"/>
    <n v="16840.91"/>
    <x v="1"/>
  </r>
  <r>
    <n v="287"/>
    <n v="5806"/>
    <x v="5"/>
    <x v="1"/>
    <n v="48263"/>
    <n v="3"/>
    <n v="144789"/>
    <x v="78"/>
    <x v="3"/>
    <x v="3"/>
    <s v="Pending"/>
    <n v="2.1"/>
    <n v="0.25477895420232199"/>
    <n v="6547.51"/>
    <x v="1"/>
  </r>
  <r>
    <n v="288"/>
    <n v="5849"/>
    <x v="0"/>
    <x v="0"/>
    <n v="29897"/>
    <n v="5"/>
    <n v="149485"/>
    <x v="126"/>
    <x v="1"/>
    <x v="2"/>
    <s v="Cancelled"/>
    <n v="3"/>
    <n v="0.13541793490985718"/>
    <n v="24602.55"/>
    <x v="1"/>
  </r>
  <r>
    <n v="289"/>
    <n v="1780"/>
    <x v="3"/>
    <x v="0"/>
    <n v="8713"/>
    <n v="4"/>
    <n v="34852"/>
    <x v="190"/>
    <x v="2"/>
    <x v="1"/>
    <s v="Delivered"/>
    <n v="3.5"/>
    <n v="0.11197434867439458"/>
    <n v="6553.07"/>
    <x v="0"/>
  </r>
  <r>
    <n v="290"/>
    <n v="9293"/>
    <x v="5"/>
    <x v="0"/>
    <n v="41002"/>
    <n v="3"/>
    <n v="123006"/>
    <x v="191"/>
    <x v="3"/>
    <x v="4"/>
    <s v="Delivered"/>
    <n v="3.1"/>
    <n v="7.6343267808074405E-2"/>
    <n v="27511.119999999999"/>
    <x v="0"/>
  </r>
  <r>
    <n v="291"/>
    <n v="6961"/>
    <x v="2"/>
    <x v="1"/>
    <n v="44991"/>
    <n v="5"/>
    <n v="224955"/>
    <x v="192"/>
    <x v="2"/>
    <x v="4"/>
    <s v="Cancelled"/>
    <n v="2.1"/>
    <n v="0.2496608210530995"/>
    <n v="11324.05"/>
    <x v="0"/>
  </r>
  <r>
    <n v="292"/>
    <n v="2070"/>
    <x v="1"/>
    <x v="2"/>
    <n v="32807"/>
    <n v="5"/>
    <n v="164035"/>
    <x v="193"/>
    <x v="2"/>
    <x v="2"/>
    <s v="Delivered"/>
    <n v="3.6"/>
    <n v="0.22704075349772912"/>
    <n v="11967.87"/>
    <x v="1"/>
  </r>
  <r>
    <n v="293"/>
    <n v="8783"/>
    <x v="0"/>
    <x v="0"/>
    <n v="6886"/>
    <n v="5"/>
    <n v="34430"/>
    <x v="34"/>
    <x v="3"/>
    <x v="2"/>
    <s v="Pending"/>
    <n v="4.3"/>
    <n v="8.8881208248620391E-2"/>
    <n v="7268.82"/>
    <x v="0"/>
  </r>
  <r>
    <n v="294"/>
    <n v="9441"/>
    <x v="5"/>
    <x v="1"/>
    <n v="21300"/>
    <n v="4"/>
    <n v="85200"/>
    <x v="194"/>
    <x v="1"/>
    <x v="3"/>
    <s v="Pending"/>
    <n v="3"/>
    <n v="5.9888262910798115E-2"/>
    <n v="20457.52"/>
    <x v="0"/>
  </r>
  <r>
    <n v="295"/>
    <n v="4720"/>
    <x v="4"/>
    <x v="0"/>
    <n v="36852"/>
    <n v="3"/>
    <n v="110556"/>
    <x v="108"/>
    <x v="0"/>
    <x v="0"/>
    <s v="Delivered"/>
    <n v="4"/>
    <n v="0.25368238720648362"/>
    <n v="5120.6899999999996"/>
    <x v="1"/>
  </r>
  <r>
    <n v="296"/>
    <n v="4041"/>
    <x v="4"/>
    <x v="0"/>
    <n v="6161"/>
    <n v="2"/>
    <n v="12322"/>
    <x v="195"/>
    <x v="2"/>
    <x v="2"/>
    <s v="Delivered"/>
    <n v="3.4"/>
    <n v="0.15179435156630416"/>
    <n v="1826.19"/>
    <x v="1"/>
  </r>
  <r>
    <n v="297"/>
    <n v="2484"/>
    <x v="5"/>
    <x v="1"/>
    <n v="2793"/>
    <n v="1"/>
    <n v="2793"/>
    <x v="126"/>
    <x v="0"/>
    <x v="4"/>
    <s v="Delivered"/>
    <n v="3.4"/>
    <n v="6.6652345148585743E-2"/>
    <n v="651.74"/>
    <x v="0"/>
  </r>
  <r>
    <n v="298"/>
    <n v="1610"/>
    <x v="4"/>
    <x v="2"/>
    <n v="49571"/>
    <n v="2"/>
    <n v="99142"/>
    <x v="196"/>
    <x v="1"/>
    <x v="2"/>
    <s v="Cancelled"/>
    <n v="4"/>
    <n v="0.12490548909644751"/>
    <n v="17359.22"/>
    <x v="0"/>
  </r>
  <r>
    <n v="299"/>
    <n v="9459"/>
    <x v="2"/>
    <x v="0"/>
    <n v="28692"/>
    <n v="5"/>
    <n v="143460"/>
    <x v="197"/>
    <x v="2"/>
    <x v="3"/>
    <s v="Delivered"/>
    <n v="4.0999999999999996"/>
    <n v="0.19328140248152798"/>
    <n v="15309.85"/>
    <x v="1"/>
  </r>
  <r>
    <n v="300"/>
    <n v="9445"/>
    <x v="1"/>
    <x v="0"/>
    <n v="20260"/>
    <n v="5"/>
    <n v="101300"/>
    <x v="61"/>
    <x v="3"/>
    <x v="1"/>
    <s v="Pending"/>
    <n v="1.6"/>
    <n v="0.2872222112537019"/>
    <n v="1294.3900000000001"/>
    <x v="1"/>
  </r>
  <r>
    <n v="301"/>
    <n v="5004"/>
    <x v="4"/>
    <x v="0"/>
    <n v="47552"/>
    <n v="4"/>
    <n v="190208"/>
    <x v="198"/>
    <x v="0"/>
    <x v="3"/>
    <s v="Pending"/>
    <n v="2.2000000000000002"/>
    <n v="5.1520861372812921E-2"/>
    <n v="47262.720000000001"/>
    <x v="0"/>
  </r>
  <r>
    <n v="302"/>
    <n v="2317"/>
    <x v="4"/>
    <x v="1"/>
    <n v="18081"/>
    <n v="2"/>
    <n v="36162"/>
    <x v="199"/>
    <x v="3"/>
    <x v="4"/>
    <s v="Cancelled"/>
    <n v="3.6"/>
    <n v="0.10037553232675185"/>
    <n v="7218.82"/>
    <x v="0"/>
  </r>
  <r>
    <n v="303"/>
    <n v="1223"/>
    <x v="5"/>
    <x v="2"/>
    <n v="17225"/>
    <n v="1"/>
    <n v="17225"/>
    <x v="200"/>
    <x v="2"/>
    <x v="2"/>
    <s v="Delivered"/>
    <n v="2.9"/>
    <n v="0.28536487663280113"/>
    <n v="252.09"/>
    <x v="1"/>
  </r>
  <r>
    <n v="304"/>
    <n v="7051"/>
    <x v="5"/>
    <x v="2"/>
    <n v="8136"/>
    <n v="5"/>
    <n v="40680"/>
    <x v="201"/>
    <x v="1"/>
    <x v="3"/>
    <s v="Delivered"/>
    <n v="2.2000000000000002"/>
    <n v="0.1229972959685349"/>
    <n v="7200.47"/>
    <x v="0"/>
  </r>
  <r>
    <n v="305"/>
    <n v="7769"/>
    <x v="5"/>
    <x v="1"/>
    <n v="11118"/>
    <n v="2"/>
    <n v="22236"/>
    <x v="202"/>
    <x v="3"/>
    <x v="4"/>
    <s v="Delivered"/>
    <n v="1.8"/>
    <n v="0.17772306170174493"/>
    <n v="2718.95"/>
    <x v="1"/>
  </r>
  <r>
    <n v="306"/>
    <n v="5778"/>
    <x v="2"/>
    <x v="1"/>
    <n v="40169"/>
    <n v="1"/>
    <n v="40169"/>
    <x v="57"/>
    <x v="3"/>
    <x v="1"/>
    <s v="Pending"/>
    <n v="3.8"/>
    <n v="0.2437536408673355"/>
    <n v="2259.36"/>
    <x v="0"/>
  </r>
  <r>
    <n v="307"/>
    <n v="7211"/>
    <x v="3"/>
    <x v="1"/>
    <n v="44705"/>
    <n v="3"/>
    <n v="134115"/>
    <x v="8"/>
    <x v="0"/>
    <x v="2"/>
    <s v="Pending"/>
    <n v="2.8"/>
    <n v="0.2663261380158819"/>
    <n v="4516.17"/>
    <x v="1"/>
  </r>
  <r>
    <n v="308"/>
    <n v="4120"/>
    <x v="4"/>
    <x v="0"/>
    <n v="40693"/>
    <n v="3"/>
    <n v="122079"/>
    <x v="203"/>
    <x v="3"/>
    <x v="2"/>
    <s v="Delivered"/>
    <n v="1.2"/>
    <n v="0.23078547497931667"/>
    <n v="8449.64"/>
    <x v="1"/>
  </r>
  <r>
    <n v="309"/>
    <n v="4466"/>
    <x v="4"/>
    <x v="0"/>
    <n v="43405"/>
    <n v="1"/>
    <n v="43405"/>
    <x v="125"/>
    <x v="0"/>
    <x v="1"/>
    <s v="Cancelled"/>
    <n v="4"/>
    <n v="0.16705517797488767"/>
    <n v="5770.47"/>
    <x v="0"/>
  </r>
  <r>
    <n v="310"/>
    <n v="5489"/>
    <x v="5"/>
    <x v="2"/>
    <n v="46336"/>
    <n v="1"/>
    <n v="46336"/>
    <x v="204"/>
    <x v="0"/>
    <x v="3"/>
    <s v="Delivered"/>
    <n v="2.4"/>
    <n v="0.15884603763812155"/>
    <n v="6540.51"/>
    <x v="0"/>
  </r>
  <r>
    <n v="311"/>
    <n v="4036"/>
    <x v="5"/>
    <x v="2"/>
    <n v="24085"/>
    <n v="3"/>
    <n v="72255"/>
    <x v="205"/>
    <x v="2"/>
    <x v="0"/>
    <s v="Cancelled"/>
    <n v="3.5"/>
    <n v="0.16473558923257905"/>
    <n v="9773.5300000000007"/>
    <x v="0"/>
  </r>
  <r>
    <n v="312"/>
    <n v="3242"/>
    <x v="0"/>
    <x v="1"/>
    <n v="44661"/>
    <n v="1"/>
    <n v="44661"/>
    <x v="145"/>
    <x v="1"/>
    <x v="1"/>
    <s v="Pending"/>
    <n v="2.7"/>
    <n v="0.20047401536015766"/>
    <n v="4444.93"/>
    <x v="0"/>
  </r>
  <r>
    <n v="313"/>
    <n v="7392"/>
    <x v="1"/>
    <x v="2"/>
    <n v="21315"/>
    <n v="2"/>
    <n v="42630"/>
    <x v="173"/>
    <x v="2"/>
    <x v="2"/>
    <s v="Pending"/>
    <n v="2.4"/>
    <n v="5.0705840957072486E-2"/>
    <n v="10627.41"/>
    <x v="1"/>
  </r>
  <r>
    <n v="314"/>
    <n v="5391"/>
    <x v="5"/>
    <x v="2"/>
    <n v="26777"/>
    <n v="5"/>
    <n v="133885"/>
    <x v="157"/>
    <x v="0"/>
    <x v="3"/>
    <s v="Pending"/>
    <n v="4.8"/>
    <n v="0.15154304066923105"/>
    <n v="19876.16"/>
    <x v="1"/>
  </r>
  <r>
    <n v="315"/>
    <n v="9342"/>
    <x v="5"/>
    <x v="2"/>
    <n v="46193"/>
    <n v="3"/>
    <n v="138579"/>
    <x v="206"/>
    <x v="2"/>
    <x v="1"/>
    <s v="Pending"/>
    <n v="2.2000000000000002"/>
    <n v="7.1611283094841202E-2"/>
    <n v="31649.88"/>
    <x v="0"/>
  </r>
  <r>
    <n v="316"/>
    <n v="1678"/>
    <x v="5"/>
    <x v="2"/>
    <n v="40121"/>
    <n v="1"/>
    <n v="40121"/>
    <x v="76"/>
    <x v="1"/>
    <x v="2"/>
    <s v="Pending"/>
    <n v="4.4000000000000004"/>
    <n v="0.23139951646270032"/>
    <n v="2752.32"/>
    <x v="0"/>
  </r>
  <r>
    <n v="317"/>
    <n v="7685"/>
    <x v="5"/>
    <x v="0"/>
    <n v="20353"/>
    <n v="5"/>
    <n v="101765"/>
    <x v="129"/>
    <x v="1"/>
    <x v="4"/>
    <s v="Cancelled"/>
    <n v="1.8"/>
    <n v="7.494226895297991E-2"/>
    <n v="22903"/>
    <x v="0"/>
  </r>
  <r>
    <n v="318"/>
    <n v="9809"/>
    <x v="2"/>
    <x v="0"/>
    <n v="689"/>
    <n v="4"/>
    <n v="2756"/>
    <x v="207"/>
    <x v="3"/>
    <x v="1"/>
    <s v="Delivered"/>
    <n v="4.3"/>
    <n v="9.6324383164005822E-2"/>
    <n v="561.33000000000004"/>
    <x v="1"/>
  </r>
  <r>
    <n v="319"/>
    <n v="1168"/>
    <x v="0"/>
    <x v="0"/>
    <n v="27446"/>
    <n v="1"/>
    <n v="27446"/>
    <x v="75"/>
    <x v="1"/>
    <x v="1"/>
    <s v="Cancelled"/>
    <n v="1.7"/>
    <n v="0.28146068643882532"/>
    <n v="508.83"/>
    <x v="1"/>
  </r>
  <r>
    <n v="320"/>
    <n v="1709"/>
    <x v="1"/>
    <x v="2"/>
    <n v="18520"/>
    <n v="5"/>
    <n v="92600"/>
    <x v="180"/>
    <x v="1"/>
    <x v="3"/>
    <s v="Cancelled"/>
    <n v="3.7"/>
    <n v="0.20150518358531319"/>
    <n v="9120.6200000000008"/>
    <x v="1"/>
  </r>
  <r>
    <n v="321"/>
    <n v="5849"/>
    <x v="0"/>
    <x v="0"/>
    <n v="30053"/>
    <n v="3"/>
    <n v="90159"/>
    <x v="208"/>
    <x v="3"/>
    <x v="2"/>
    <s v="Delivered"/>
    <n v="2.7"/>
    <n v="8.8362004902450123E-2"/>
    <n v="19081.07"/>
    <x v="0"/>
  </r>
  <r>
    <n v="322"/>
    <n v="5414"/>
    <x v="1"/>
    <x v="2"/>
    <n v="42308"/>
    <n v="3"/>
    <n v="126924"/>
    <x v="21"/>
    <x v="2"/>
    <x v="1"/>
    <s v="Delivered"/>
    <n v="3.4"/>
    <n v="9.5472645047429958E-2"/>
    <n v="25959.43"/>
    <x v="0"/>
  </r>
  <r>
    <n v="323"/>
    <n v="1892"/>
    <x v="2"/>
    <x v="2"/>
    <n v="44409"/>
    <n v="2"/>
    <n v="88818"/>
    <x v="110"/>
    <x v="3"/>
    <x v="0"/>
    <s v="Cancelled"/>
    <n v="3.4"/>
    <n v="5.032887477763516E-2"/>
    <n v="22175.29"/>
    <x v="1"/>
  </r>
  <r>
    <n v="324"/>
    <n v="5705"/>
    <x v="2"/>
    <x v="0"/>
    <n v="30523"/>
    <n v="1"/>
    <n v="30523"/>
    <x v="209"/>
    <x v="2"/>
    <x v="3"/>
    <s v="Cancelled"/>
    <n v="1.3"/>
    <n v="8.9510860662451258E-2"/>
    <n v="6424.76"/>
    <x v="1"/>
  </r>
  <r>
    <n v="325"/>
    <n v="3012"/>
    <x v="3"/>
    <x v="0"/>
    <n v="48742"/>
    <n v="3"/>
    <n v="146226"/>
    <x v="210"/>
    <x v="1"/>
    <x v="0"/>
    <s v="Pending"/>
    <n v="4.9000000000000004"/>
    <n v="0.2085374693966873"/>
    <n v="13374.2"/>
    <x v="1"/>
  </r>
  <r>
    <n v="326"/>
    <n v="1226"/>
    <x v="2"/>
    <x v="1"/>
    <n v="8487"/>
    <n v="3"/>
    <n v="25461"/>
    <x v="69"/>
    <x v="3"/>
    <x v="4"/>
    <s v="Cancelled"/>
    <n v="1.9"/>
    <n v="0.25582930756843802"/>
    <n v="1124.6300000000001"/>
    <x v="1"/>
  </r>
  <r>
    <n v="327"/>
    <n v="4925"/>
    <x v="2"/>
    <x v="0"/>
    <n v="18922"/>
    <n v="5"/>
    <n v="94610"/>
    <x v="211"/>
    <x v="3"/>
    <x v="4"/>
    <s v="Pending"/>
    <n v="2.9"/>
    <n v="5.1090688087939963E-2"/>
    <n v="23549.31"/>
    <x v="0"/>
  </r>
  <r>
    <n v="328"/>
    <n v="3619"/>
    <x v="1"/>
    <x v="0"/>
    <n v="18053"/>
    <n v="3"/>
    <n v="54159"/>
    <x v="212"/>
    <x v="0"/>
    <x v="2"/>
    <s v="Cancelled"/>
    <n v="1.3"/>
    <n v="0.23197437175723334"/>
    <n v="3684.2"/>
    <x v="1"/>
  </r>
  <r>
    <n v="329"/>
    <n v="5637"/>
    <x v="1"/>
    <x v="0"/>
    <n v="28452"/>
    <n v="2"/>
    <n v="56904"/>
    <x v="200"/>
    <x v="0"/>
    <x v="2"/>
    <s v="Delivered"/>
    <n v="2.1"/>
    <n v="0.16740580627020946"/>
    <n v="7545.14"/>
    <x v="0"/>
  </r>
  <r>
    <n v="330"/>
    <n v="6038"/>
    <x v="0"/>
    <x v="1"/>
    <n v="4622"/>
    <n v="3"/>
    <n v="13866"/>
    <x v="213"/>
    <x v="3"/>
    <x v="2"/>
    <s v="Delivered"/>
    <n v="1.2"/>
    <n v="0.20078609548535986"/>
    <n v="1375.7"/>
    <x v="1"/>
  </r>
  <r>
    <n v="331"/>
    <n v="9305"/>
    <x v="5"/>
    <x v="1"/>
    <n v="2411"/>
    <n v="3"/>
    <n v="7233"/>
    <x v="160"/>
    <x v="0"/>
    <x v="0"/>
    <s v="Cancelled"/>
    <n v="4.5999999999999996"/>
    <n v="0.17616894787778239"/>
    <n v="895.67"/>
    <x v="0"/>
  </r>
  <r>
    <n v="332"/>
    <n v="6393"/>
    <x v="4"/>
    <x v="1"/>
    <n v="26718"/>
    <n v="3"/>
    <n v="80154"/>
    <x v="214"/>
    <x v="1"/>
    <x v="0"/>
    <s v="Delivered"/>
    <n v="4.9000000000000004"/>
    <n v="9.3721461187214611E-2"/>
    <n v="16534.05"/>
    <x v="1"/>
  </r>
  <r>
    <n v="333"/>
    <n v="1870"/>
    <x v="0"/>
    <x v="0"/>
    <n v="5238"/>
    <n v="5"/>
    <n v="26190"/>
    <x v="215"/>
    <x v="2"/>
    <x v="0"/>
    <s v="Pending"/>
    <n v="2.9"/>
    <n v="0.14151088201603665"/>
    <n v="4150.83"/>
    <x v="1"/>
  </r>
  <r>
    <n v="334"/>
    <n v="5505"/>
    <x v="0"/>
    <x v="2"/>
    <n v="33013"/>
    <n v="1"/>
    <n v="33013"/>
    <x v="209"/>
    <x v="1"/>
    <x v="4"/>
    <s v="Pending"/>
    <n v="4.7"/>
    <n v="6.2513555266107301E-2"/>
    <n v="7840.14"/>
    <x v="0"/>
  </r>
  <r>
    <n v="335"/>
    <n v="2883"/>
    <x v="0"/>
    <x v="0"/>
    <n v="48181"/>
    <n v="1"/>
    <n v="48181"/>
    <x v="145"/>
    <x v="2"/>
    <x v="4"/>
    <s v="Cancelled"/>
    <n v="4.7"/>
    <n v="0.29974782590647764"/>
    <n v="12.15"/>
    <x v="1"/>
  </r>
  <r>
    <n v="336"/>
    <n v="7038"/>
    <x v="3"/>
    <x v="2"/>
    <n v="27848"/>
    <n v="5"/>
    <n v="139240"/>
    <x v="8"/>
    <x v="1"/>
    <x v="3"/>
    <s v="Pending"/>
    <n v="4.7"/>
    <n v="0.21789054869290436"/>
    <n v="11432.92"/>
    <x v="1"/>
  </r>
  <r>
    <n v="337"/>
    <n v="6061"/>
    <x v="3"/>
    <x v="1"/>
    <n v="1516"/>
    <n v="2"/>
    <n v="3032"/>
    <x v="184"/>
    <x v="1"/>
    <x v="2"/>
    <s v="Cancelled"/>
    <n v="1.4"/>
    <n v="9.2687994722955136E-2"/>
    <n v="628.57000000000005"/>
    <x v="1"/>
  </r>
  <r>
    <n v="338"/>
    <n v="1707"/>
    <x v="2"/>
    <x v="1"/>
    <n v="6010"/>
    <n v="2"/>
    <n v="12020"/>
    <x v="216"/>
    <x v="3"/>
    <x v="0"/>
    <s v="Delivered"/>
    <n v="3.3"/>
    <n v="0.13295091514143095"/>
    <n v="2007.93"/>
    <x v="1"/>
  </r>
  <r>
    <n v="339"/>
    <n v="7875"/>
    <x v="4"/>
    <x v="1"/>
    <n v="32974"/>
    <n v="4"/>
    <n v="131896"/>
    <x v="217"/>
    <x v="0"/>
    <x v="1"/>
    <s v="Pending"/>
    <n v="1.8"/>
    <n v="0.15038704737065567"/>
    <n v="19733.349999999999"/>
    <x v="1"/>
  </r>
  <r>
    <n v="340"/>
    <n v="2061"/>
    <x v="4"/>
    <x v="1"/>
    <n v="5382"/>
    <n v="1"/>
    <n v="5382"/>
    <x v="174"/>
    <x v="0"/>
    <x v="3"/>
    <s v="Cancelled"/>
    <n v="2.9"/>
    <n v="0.20960423634336675"/>
    <n v="486.51"/>
    <x v="0"/>
  </r>
  <r>
    <n v="341"/>
    <n v="6379"/>
    <x v="4"/>
    <x v="1"/>
    <n v="32715"/>
    <n v="3"/>
    <n v="98145"/>
    <x v="91"/>
    <x v="3"/>
    <x v="2"/>
    <s v="Pending"/>
    <n v="3"/>
    <n v="0.17575739976565286"/>
    <n v="12193.79"/>
    <x v="0"/>
  </r>
  <r>
    <n v="342"/>
    <n v="9271"/>
    <x v="5"/>
    <x v="2"/>
    <n v="15323"/>
    <n v="3"/>
    <n v="45969"/>
    <x v="32"/>
    <x v="3"/>
    <x v="1"/>
    <s v="Cancelled"/>
    <n v="4.4000000000000004"/>
    <n v="7.5554177815484347E-2"/>
    <n v="10317.549999999999"/>
    <x v="1"/>
  </r>
  <r>
    <n v="343"/>
    <n v="7756"/>
    <x v="3"/>
    <x v="2"/>
    <n v="49908"/>
    <n v="2"/>
    <n v="99816"/>
    <x v="218"/>
    <x v="0"/>
    <x v="3"/>
    <s v="Delivered"/>
    <n v="4.7"/>
    <n v="0.25110914081910712"/>
    <n v="4880.09"/>
    <x v="1"/>
  </r>
  <r>
    <n v="344"/>
    <n v="6680"/>
    <x v="1"/>
    <x v="1"/>
    <n v="18455"/>
    <n v="2"/>
    <n v="36910"/>
    <x v="1"/>
    <x v="1"/>
    <x v="3"/>
    <s v="Pending"/>
    <n v="2"/>
    <n v="0.29491465727445138"/>
    <n v="187.7"/>
    <x v="1"/>
  </r>
  <r>
    <n v="345"/>
    <n v="1180"/>
    <x v="2"/>
    <x v="2"/>
    <n v="35702"/>
    <n v="1"/>
    <n v="35702"/>
    <x v="219"/>
    <x v="0"/>
    <x v="1"/>
    <s v="Pending"/>
    <n v="2.1"/>
    <n v="0.24788527253375162"/>
    <n v="1860.6"/>
    <x v="0"/>
  </r>
  <r>
    <n v="346"/>
    <n v="6314"/>
    <x v="2"/>
    <x v="2"/>
    <n v="35854"/>
    <n v="1"/>
    <n v="35854"/>
    <x v="220"/>
    <x v="1"/>
    <x v="4"/>
    <s v="Pending"/>
    <n v="4.5"/>
    <n v="7.8698611033636415E-2"/>
    <n v="7934.54"/>
    <x v="0"/>
  </r>
  <r>
    <n v="347"/>
    <n v="1197"/>
    <x v="3"/>
    <x v="1"/>
    <n v="47261"/>
    <n v="5"/>
    <n v="236305"/>
    <x v="221"/>
    <x v="3"/>
    <x v="2"/>
    <s v="Delivered"/>
    <n v="4.5"/>
    <n v="0.19068720509511011"/>
    <n v="25831.16"/>
    <x v="0"/>
  </r>
  <r>
    <n v="348"/>
    <n v="4022"/>
    <x v="3"/>
    <x v="0"/>
    <n v="36102"/>
    <n v="1"/>
    <n v="36102"/>
    <x v="117"/>
    <x v="3"/>
    <x v="4"/>
    <s v="Pending"/>
    <n v="4.2"/>
    <n v="0.25954517755249018"/>
    <n v="1460.5"/>
    <x v="1"/>
  </r>
  <r>
    <n v="349"/>
    <n v="7437"/>
    <x v="0"/>
    <x v="0"/>
    <n v="44873"/>
    <n v="2"/>
    <n v="89746"/>
    <x v="138"/>
    <x v="3"/>
    <x v="0"/>
    <s v="Delivered"/>
    <n v="3.5"/>
    <n v="0.17918102199540928"/>
    <n v="10843.02"/>
    <x v="1"/>
  </r>
  <r>
    <n v="350"/>
    <n v="3414"/>
    <x v="2"/>
    <x v="0"/>
    <n v="27105"/>
    <n v="1"/>
    <n v="27105"/>
    <x v="222"/>
    <x v="0"/>
    <x v="0"/>
    <s v="Delivered"/>
    <n v="4.0999999999999996"/>
    <n v="0.27142150894668882"/>
    <n v="774.62"/>
    <x v="0"/>
  </r>
  <r>
    <n v="351"/>
    <n v="8495"/>
    <x v="5"/>
    <x v="1"/>
    <n v="31074"/>
    <n v="3"/>
    <n v="93222"/>
    <x v="223"/>
    <x v="1"/>
    <x v="3"/>
    <s v="Delivered"/>
    <n v="5"/>
    <n v="5.5049130033683037E-2"/>
    <n v="22834.81"/>
    <x v="0"/>
  </r>
  <r>
    <n v="352"/>
    <n v="4366"/>
    <x v="2"/>
    <x v="1"/>
    <n v="24133"/>
    <n v="2"/>
    <n v="48266"/>
    <x v="224"/>
    <x v="3"/>
    <x v="3"/>
    <s v="Cancelled"/>
    <n v="3.4"/>
    <n v="0.26890771971988564"/>
    <n v="1500.7"/>
    <x v="0"/>
  </r>
  <r>
    <n v="353"/>
    <n v="8367"/>
    <x v="0"/>
    <x v="0"/>
    <n v="36473"/>
    <n v="3"/>
    <n v="109419"/>
    <x v="225"/>
    <x v="2"/>
    <x v="4"/>
    <s v="Pending"/>
    <n v="2.5"/>
    <n v="0.22961386962044983"/>
    <n v="7701.58"/>
    <x v="1"/>
  </r>
  <r>
    <n v="354"/>
    <n v="7808"/>
    <x v="3"/>
    <x v="1"/>
    <n v="11887"/>
    <n v="5"/>
    <n v="59435"/>
    <x v="226"/>
    <x v="2"/>
    <x v="0"/>
    <s v="Pending"/>
    <n v="4.0999999999999996"/>
    <n v="0.27550450071506688"/>
    <n v="1455.89"/>
    <x v="1"/>
  </r>
  <r>
    <n v="355"/>
    <n v="4333"/>
    <x v="5"/>
    <x v="0"/>
    <n v="29963"/>
    <n v="2"/>
    <n v="59926"/>
    <x v="217"/>
    <x v="3"/>
    <x v="1"/>
    <s v="Delivered"/>
    <n v="1.6"/>
    <n v="0.15752578179755031"/>
    <n v="8537.91"/>
    <x v="0"/>
  </r>
  <r>
    <n v="356"/>
    <n v="9972"/>
    <x v="4"/>
    <x v="1"/>
    <n v="4466"/>
    <n v="3"/>
    <n v="13398"/>
    <x v="227"/>
    <x v="1"/>
    <x v="2"/>
    <s v="Pending"/>
    <n v="3.2"/>
    <n v="0.13894237945962085"/>
    <n v="2157.85"/>
    <x v="0"/>
  </r>
  <r>
    <n v="357"/>
    <n v="7457"/>
    <x v="0"/>
    <x v="2"/>
    <n v="46441"/>
    <n v="5"/>
    <n v="232205"/>
    <x v="17"/>
    <x v="2"/>
    <x v="2"/>
    <s v="Delivered"/>
    <n v="5"/>
    <n v="0.25499928942098576"/>
    <n v="10449.39"/>
    <x v="0"/>
  </r>
  <r>
    <n v="358"/>
    <n v="8077"/>
    <x v="3"/>
    <x v="1"/>
    <n v="44163"/>
    <n v="2"/>
    <n v="88326"/>
    <x v="176"/>
    <x v="3"/>
    <x v="3"/>
    <s v="Delivered"/>
    <n v="3.1"/>
    <n v="0.19695084120191111"/>
    <n v="9101.92"/>
    <x v="1"/>
  </r>
  <r>
    <n v="359"/>
    <n v="2871"/>
    <x v="5"/>
    <x v="1"/>
    <n v="3486"/>
    <n v="2"/>
    <n v="6972"/>
    <x v="200"/>
    <x v="0"/>
    <x v="2"/>
    <s v="Pending"/>
    <n v="1.2"/>
    <n v="0.17759753298909925"/>
    <n v="853.39"/>
    <x v="1"/>
  </r>
  <r>
    <n v="360"/>
    <n v="9764"/>
    <x v="3"/>
    <x v="2"/>
    <n v="28341"/>
    <n v="1"/>
    <n v="28341"/>
    <x v="228"/>
    <x v="1"/>
    <x v="0"/>
    <s v="Pending"/>
    <n v="2.7"/>
    <n v="0.1105264457852581"/>
    <n v="5369.87"/>
    <x v="0"/>
  </r>
  <r>
    <n v="361"/>
    <n v="9396"/>
    <x v="3"/>
    <x v="1"/>
    <n v="19594"/>
    <n v="4"/>
    <n v="78376"/>
    <x v="220"/>
    <x v="1"/>
    <x v="4"/>
    <s v="Cancelled"/>
    <n v="3.7"/>
    <n v="5.9523833826681631E-2"/>
    <n v="18847.560000000001"/>
    <x v="0"/>
  </r>
  <r>
    <n v="362"/>
    <n v="3485"/>
    <x v="4"/>
    <x v="2"/>
    <n v="22163"/>
    <n v="2"/>
    <n v="44326"/>
    <x v="149"/>
    <x v="0"/>
    <x v="1"/>
    <s v="Pending"/>
    <n v="2"/>
    <n v="0.27136014979921491"/>
    <n v="1269.49"/>
    <x v="1"/>
  </r>
  <r>
    <n v="363"/>
    <n v="9425"/>
    <x v="2"/>
    <x v="1"/>
    <n v="38991"/>
    <n v="1"/>
    <n v="38991"/>
    <x v="229"/>
    <x v="2"/>
    <x v="2"/>
    <s v="Pending"/>
    <n v="1.1000000000000001"/>
    <n v="0.11751429817137288"/>
    <n v="7115.3"/>
    <x v="1"/>
  </r>
  <r>
    <n v="364"/>
    <n v="7861"/>
    <x v="2"/>
    <x v="1"/>
    <n v="13780"/>
    <n v="2"/>
    <n v="27560"/>
    <x v="230"/>
    <x v="0"/>
    <x v="2"/>
    <s v="Delivered"/>
    <n v="2.5"/>
    <n v="0.16583454281567489"/>
    <n v="3697.6"/>
    <x v="1"/>
  </r>
  <r>
    <n v="365"/>
    <n v="9189"/>
    <x v="1"/>
    <x v="0"/>
    <n v="18898"/>
    <n v="2"/>
    <n v="37796"/>
    <x v="209"/>
    <x v="3"/>
    <x v="1"/>
    <s v="Cancelled"/>
    <n v="4.3"/>
    <n v="0.16494232193882949"/>
    <n v="5104.6400000000003"/>
    <x v="1"/>
  </r>
  <r>
    <n v="366"/>
    <n v="4082"/>
    <x v="1"/>
    <x v="2"/>
    <n v="34206"/>
    <n v="2"/>
    <n v="68412"/>
    <x v="231"/>
    <x v="1"/>
    <x v="1"/>
    <s v="Pending"/>
    <n v="2.7"/>
    <n v="0.1231516400631468"/>
    <n v="12098.55"/>
    <x v="1"/>
  </r>
  <r>
    <n v="367"/>
    <n v="7688"/>
    <x v="5"/>
    <x v="1"/>
    <n v="22803"/>
    <n v="4"/>
    <n v="91212"/>
    <x v="70"/>
    <x v="0"/>
    <x v="4"/>
    <s v="Pending"/>
    <n v="4.0999999999999996"/>
    <n v="0.29998947506906987"/>
    <n v="0.96"/>
    <x v="1"/>
  </r>
  <r>
    <n v="368"/>
    <n v="8263"/>
    <x v="4"/>
    <x v="2"/>
    <n v="8974"/>
    <n v="5"/>
    <n v="44870"/>
    <x v="232"/>
    <x v="0"/>
    <x v="0"/>
    <s v="Delivered"/>
    <n v="1.1000000000000001"/>
    <n v="0.1511624693559171"/>
    <n v="6678.34"/>
    <x v="1"/>
  </r>
  <r>
    <n v="369"/>
    <n v="6436"/>
    <x v="4"/>
    <x v="2"/>
    <n v="36036"/>
    <n v="2"/>
    <n v="72072"/>
    <x v="233"/>
    <x v="0"/>
    <x v="1"/>
    <s v="Pending"/>
    <n v="1.5"/>
    <n v="7.1141358641358649E-2"/>
    <n v="16494.3"/>
    <x v="0"/>
  </r>
  <r>
    <n v="370"/>
    <n v="8854"/>
    <x v="4"/>
    <x v="2"/>
    <n v="30474"/>
    <n v="2"/>
    <n v="60948"/>
    <x v="32"/>
    <x v="1"/>
    <x v="1"/>
    <s v="Cancelled"/>
    <n v="4.7"/>
    <n v="0.25429595720942444"/>
    <n v="2785.57"/>
    <x v="0"/>
  </r>
  <r>
    <n v="371"/>
    <n v="1922"/>
    <x v="1"/>
    <x v="0"/>
    <n v="3208"/>
    <n v="4"/>
    <n v="12832"/>
    <x v="1"/>
    <x v="1"/>
    <x v="0"/>
    <s v="Delivered"/>
    <n v="3.3"/>
    <n v="0.16089307980049875"/>
    <n v="1785.02"/>
    <x v="0"/>
  </r>
  <r>
    <n v="372"/>
    <n v="9230"/>
    <x v="0"/>
    <x v="0"/>
    <n v="40708"/>
    <n v="4"/>
    <n v="162832"/>
    <x v="234"/>
    <x v="1"/>
    <x v="4"/>
    <s v="Pending"/>
    <n v="4.0999999999999996"/>
    <n v="0.14416736268055419"/>
    <n v="25374.54"/>
    <x v="1"/>
  </r>
  <r>
    <n v="373"/>
    <n v="8684"/>
    <x v="5"/>
    <x v="1"/>
    <n v="33090"/>
    <n v="4"/>
    <n v="132360"/>
    <x v="136"/>
    <x v="3"/>
    <x v="1"/>
    <s v="Delivered"/>
    <n v="3.5"/>
    <n v="0.23577757630704141"/>
    <n v="8500.48"/>
    <x v="1"/>
  </r>
  <r>
    <n v="374"/>
    <n v="7188"/>
    <x v="4"/>
    <x v="1"/>
    <n v="17330"/>
    <n v="5"/>
    <n v="86650"/>
    <x v="93"/>
    <x v="0"/>
    <x v="0"/>
    <s v="Pending"/>
    <n v="4.8"/>
    <n v="8.6204616272360077E-2"/>
    <n v="18525.37"/>
    <x v="0"/>
  </r>
  <r>
    <n v="375"/>
    <n v="4590"/>
    <x v="5"/>
    <x v="0"/>
    <n v="47758"/>
    <n v="1"/>
    <n v="47758"/>
    <x v="235"/>
    <x v="0"/>
    <x v="3"/>
    <s v="Cancelled"/>
    <n v="3.9"/>
    <n v="6.9727166129234894E-2"/>
    <n v="10997.37"/>
    <x v="0"/>
  </r>
  <r>
    <n v="376"/>
    <n v="2451"/>
    <x v="1"/>
    <x v="1"/>
    <n v="39732"/>
    <n v="2"/>
    <n v="79464"/>
    <x v="236"/>
    <x v="0"/>
    <x v="1"/>
    <s v="Cancelled"/>
    <n v="4"/>
    <n v="0.20164325984093426"/>
    <n v="7815.82"/>
    <x v="0"/>
  </r>
  <r>
    <n v="377"/>
    <n v="9438"/>
    <x v="0"/>
    <x v="0"/>
    <n v="16160"/>
    <n v="4"/>
    <n v="64640"/>
    <x v="228"/>
    <x v="0"/>
    <x v="4"/>
    <s v="Delivered"/>
    <n v="3.4"/>
    <n v="0.20380538366336634"/>
    <n v="6218.02"/>
    <x v="0"/>
  </r>
  <r>
    <n v="378"/>
    <n v="9660"/>
    <x v="5"/>
    <x v="2"/>
    <n v="11419"/>
    <n v="2"/>
    <n v="22838"/>
    <x v="237"/>
    <x v="0"/>
    <x v="1"/>
    <s v="Cancelled"/>
    <n v="1.9"/>
    <n v="0.26772747175759698"/>
    <n v="737.04"/>
    <x v="0"/>
  </r>
  <r>
    <n v="379"/>
    <n v="4480"/>
    <x v="3"/>
    <x v="2"/>
    <n v="18729"/>
    <n v="2"/>
    <n v="37458"/>
    <x v="194"/>
    <x v="3"/>
    <x v="1"/>
    <s v="Pending"/>
    <n v="3.7"/>
    <n v="0.15313043942548987"/>
    <n v="5501.44"/>
    <x v="0"/>
  </r>
  <r>
    <n v="380"/>
    <n v="7597"/>
    <x v="5"/>
    <x v="1"/>
    <n v="42468"/>
    <n v="3"/>
    <n v="127404"/>
    <x v="20"/>
    <x v="1"/>
    <x v="3"/>
    <s v="Delivered"/>
    <n v="3.7"/>
    <n v="8.4408103356252553E-2"/>
    <n v="27467.27"/>
    <x v="0"/>
  </r>
  <r>
    <n v="381"/>
    <n v="2969"/>
    <x v="3"/>
    <x v="2"/>
    <n v="28373"/>
    <n v="1"/>
    <n v="28373"/>
    <x v="238"/>
    <x v="3"/>
    <x v="1"/>
    <s v="Pending"/>
    <n v="4.5999999999999996"/>
    <n v="6.9519261269516797E-2"/>
    <n v="6539.43"/>
    <x v="0"/>
  </r>
  <r>
    <n v="382"/>
    <n v="2911"/>
    <x v="1"/>
    <x v="0"/>
    <n v="3823"/>
    <n v="2"/>
    <n v="7646"/>
    <x v="129"/>
    <x v="1"/>
    <x v="4"/>
    <s v="Pending"/>
    <n v="1.6"/>
    <n v="8.61561600837039E-2"/>
    <n v="1635.05"/>
    <x v="0"/>
  </r>
  <r>
    <n v="383"/>
    <n v="1037"/>
    <x v="0"/>
    <x v="0"/>
    <n v="46616"/>
    <n v="5"/>
    <n v="233080"/>
    <x v="199"/>
    <x v="3"/>
    <x v="4"/>
    <s v="Pending"/>
    <n v="1.6"/>
    <n v="8.8769135060923293E-2"/>
    <n v="49233.69"/>
    <x v="1"/>
  </r>
  <r>
    <n v="384"/>
    <n v="8391"/>
    <x v="4"/>
    <x v="0"/>
    <n v="34348"/>
    <n v="4"/>
    <n v="137392"/>
    <x v="239"/>
    <x v="1"/>
    <x v="2"/>
    <s v="Delivered"/>
    <n v="2.2000000000000002"/>
    <n v="0.19435949691393967"/>
    <n v="14514.16"/>
    <x v="1"/>
  </r>
  <r>
    <n v="385"/>
    <n v="5476"/>
    <x v="5"/>
    <x v="2"/>
    <n v="4629"/>
    <n v="3"/>
    <n v="13887"/>
    <x v="165"/>
    <x v="3"/>
    <x v="3"/>
    <s v="Pending"/>
    <n v="4"/>
    <n v="0.25843810758263125"/>
    <n v="577.16999999999996"/>
    <x v="1"/>
  </r>
  <r>
    <n v="386"/>
    <n v="7645"/>
    <x v="4"/>
    <x v="2"/>
    <n v="47823"/>
    <n v="1"/>
    <n v="47823"/>
    <x v="240"/>
    <x v="0"/>
    <x v="2"/>
    <s v="Cancelled"/>
    <n v="2.2000000000000002"/>
    <n v="0.1625494009158773"/>
    <n v="6573.3"/>
    <x v="0"/>
  </r>
  <r>
    <n v="387"/>
    <n v="8537"/>
    <x v="2"/>
    <x v="0"/>
    <n v="39377"/>
    <n v="5"/>
    <n v="196885"/>
    <x v="161"/>
    <x v="2"/>
    <x v="1"/>
    <s v="Pending"/>
    <n v="2.1"/>
    <n v="0.23461924473677528"/>
    <n v="12872.49"/>
    <x v="0"/>
  </r>
  <r>
    <n v="388"/>
    <n v="3934"/>
    <x v="5"/>
    <x v="2"/>
    <n v="48838"/>
    <n v="3"/>
    <n v="146514"/>
    <x v="241"/>
    <x v="3"/>
    <x v="3"/>
    <s v="Delivered"/>
    <n v="3.5"/>
    <n v="7.6777236305063001E-2"/>
    <n v="32705.26"/>
    <x v="1"/>
  </r>
  <r>
    <n v="389"/>
    <n v="7169"/>
    <x v="5"/>
    <x v="2"/>
    <n v="7366"/>
    <n v="3"/>
    <n v="22098"/>
    <x v="44"/>
    <x v="3"/>
    <x v="1"/>
    <s v="Pending"/>
    <n v="3"/>
    <n v="0.28987600687845055"/>
    <n v="223.72"/>
    <x v="0"/>
  </r>
  <r>
    <n v="390"/>
    <n v="2881"/>
    <x v="5"/>
    <x v="0"/>
    <n v="41169"/>
    <n v="2"/>
    <n v="82338"/>
    <x v="242"/>
    <x v="0"/>
    <x v="2"/>
    <s v="Delivered"/>
    <n v="2.8"/>
    <n v="7.9241662415895461E-2"/>
    <n v="18176.8"/>
    <x v="1"/>
  </r>
  <r>
    <n v="391"/>
    <n v="9926"/>
    <x v="5"/>
    <x v="2"/>
    <n v="38733"/>
    <n v="3"/>
    <n v="116199"/>
    <x v="196"/>
    <x v="2"/>
    <x v="0"/>
    <s v="Pending"/>
    <n v="1.3"/>
    <n v="9.6766323290217643E-2"/>
    <n v="23615.55"/>
    <x v="0"/>
  </r>
  <r>
    <n v="392"/>
    <n v="9246"/>
    <x v="1"/>
    <x v="0"/>
    <n v="6107"/>
    <n v="4"/>
    <n v="24428"/>
    <x v="243"/>
    <x v="0"/>
    <x v="4"/>
    <s v="Cancelled"/>
    <n v="2.4"/>
    <n v="0.1348890617324382"/>
    <n v="4033.33"/>
    <x v="0"/>
  </r>
  <r>
    <n v="393"/>
    <n v="1431"/>
    <x v="4"/>
    <x v="2"/>
    <n v="45729"/>
    <n v="3"/>
    <n v="137187"/>
    <x v="232"/>
    <x v="3"/>
    <x v="4"/>
    <s v="Delivered"/>
    <n v="1.4"/>
    <n v="0.29224394439706386"/>
    <n v="1064.03"/>
    <x v="1"/>
  </r>
  <r>
    <n v="394"/>
    <n v="4028"/>
    <x v="3"/>
    <x v="1"/>
    <n v="21771"/>
    <n v="4"/>
    <n v="87084"/>
    <x v="187"/>
    <x v="2"/>
    <x v="3"/>
    <s v="Pending"/>
    <n v="3.4"/>
    <n v="6.2584630931055069E-2"/>
    <n v="20675.080000000002"/>
    <x v="0"/>
  </r>
  <r>
    <n v="395"/>
    <n v="7731"/>
    <x v="4"/>
    <x v="0"/>
    <n v="22015"/>
    <n v="3"/>
    <n v="66045"/>
    <x v="181"/>
    <x v="0"/>
    <x v="0"/>
    <s v="Delivered"/>
    <n v="3.9"/>
    <n v="0.17470224846695434"/>
    <n v="8275.2900000000009"/>
    <x v="0"/>
  </r>
  <r>
    <n v="396"/>
    <n v="3976"/>
    <x v="2"/>
    <x v="1"/>
    <n v="14977"/>
    <n v="2"/>
    <n v="29954"/>
    <x v="233"/>
    <x v="0"/>
    <x v="3"/>
    <s v="Pending"/>
    <n v="1.3"/>
    <n v="0.10729852440408627"/>
    <n v="5772.18"/>
    <x v="0"/>
  </r>
  <r>
    <n v="397"/>
    <n v="5636"/>
    <x v="2"/>
    <x v="1"/>
    <n v="34978"/>
    <n v="4"/>
    <n v="139912"/>
    <x v="175"/>
    <x v="0"/>
    <x v="1"/>
    <s v="Cancelled"/>
    <n v="3.2"/>
    <n v="0.10305484876207903"/>
    <n v="27554.99"/>
    <x v="1"/>
  </r>
  <r>
    <n v="398"/>
    <n v="4809"/>
    <x v="2"/>
    <x v="0"/>
    <n v="19170"/>
    <n v="5"/>
    <n v="95850"/>
    <x v="4"/>
    <x v="2"/>
    <x v="2"/>
    <s v="Pending"/>
    <n v="2"/>
    <n v="0.10521637976004172"/>
    <n v="18670.009999999998"/>
    <x v="0"/>
  </r>
  <r>
    <n v="399"/>
    <n v="7061"/>
    <x v="5"/>
    <x v="2"/>
    <n v="36557"/>
    <n v="1"/>
    <n v="36557"/>
    <x v="198"/>
    <x v="1"/>
    <x v="2"/>
    <s v="Cancelled"/>
    <n v="3.2"/>
    <n v="0.26744672702902317"/>
    <n v="1190.05"/>
    <x v="1"/>
  </r>
  <r>
    <n v="400"/>
    <n v="5728"/>
    <x v="1"/>
    <x v="0"/>
    <n v="23293"/>
    <n v="5"/>
    <n v="116465"/>
    <x v="227"/>
    <x v="3"/>
    <x v="1"/>
    <s v="Delivered"/>
    <n v="3.9"/>
    <n v="0.10972386553900314"/>
    <n v="22160.51"/>
    <x v="1"/>
  </r>
  <r>
    <n v="401"/>
    <n v="3244"/>
    <x v="1"/>
    <x v="2"/>
    <n v="19283"/>
    <n v="1"/>
    <n v="19283"/>
    <x v="143"/>
    <x v="2"/>
    <x v="0"/>
    <s v="Delivered"/>
    <n v="2.5"/>
    <n v="9.780428356583519E-2"/>
    <n v="3898.94"/>
    <x v="0"/>
  </r>
  <r>
    <n v="402"/>
    <n v="8181"/>
    <x v="2"/>
    <x v="1"/>
    <n v="30223"/>
    <n v="1"/>
    <n v="30223"/>
    <x v="174"/>
    <x v="0"/>
    <x v="0"/>
    <s v="Delivered"/>
    <n v="4.7"/>
    <n v="0.29667008569632403"/>
    <n v="100.64"/>
    <x v="1"/>
  </r>
  <r>
    <n v="403"/>
    <n v="7945"/>
    <x v="1"/>
    <x v="0"/>
    <n v="13709"/>
    <n v="5"/>
    <n v="68545"/>
    <x v="219"/>
    <x v="1"/>
    <x v="3"/>
    <s v="Cancelled"/>
    <n v="3"/>
    <n v="0.25046728426581077"/>
    <n v="3395.22"/>
    <x v="0"/>
  </r>
  <r>
    <n v="404"/>
    <n v="4646"/>
    <x v="0"/>
    <x v="0"/>
    <n v="3203"/>
    <n v="2"/>
    <n v="6406"/>
    <x v="207"/>
    <x v="1"/>
    <x v="2"/>
    <s v="Cancelled"/>
    <n v="1.5"/>
    <n v="0.2682516390883547"/>
    <n v="203.38"/>
    <x v="1"/>
  </r>
  <r>
    <n v="405"/>
    <n v="1737"/>
    <x v="5"/>
    <x v="1"/>
    <n v="686"/>
    <n v="4"/>
    <n v="2744"/>
    <x v="134"/>
    <x v="2"/>
    <x v="1"/>
    <s v="Delivered"/>
    <n v="1.5"/>
    <n v="0.15334912536443149"/>
    <n v="402.41"/>
    <x v="0"/>
  </r>
  <r>
    <n v="406"/>
    <n v="7838"/>
    <x v="5"/>
    <x v="0"/>
    <n v="10117"/>
    <n v="4"/>
    <n v="40468"/>
    <x v="244"/>
    <x v="3"/>
    <x v="3"/>
    <s v="Delivered"/>
    <n v="2.6"/>
    <n v="0.26628175348423444"/>
    <n v="1364.51"/>
    <x v="1"/>
  </r>
  <r>
    <n v="407"/>
    <n v="8309"/>
    <x v="1"/>
    <x v="0"/>
    <n v="6786"/>
    <n v="4"/>
    <n v="27144"/>
    <x v="245"/>
    <x v="2"/>
    <x v="2"/>
    <s v="Delivered"/>
    <n v="3.2"/>
    <n v="0.24954207191276156"/>
    <n v="1369.63"/>
    <x v="1"/>
  </r>
  <r>
    <n v="408"/>
    <n v="9982"/>
    <x v="4"/>
    <x v="1"/>
    <n v="24364"/>
    <n v="4"/>
    <n v="97456"/>
    <x v="87"/>
    <x v="3"/>
    <x v="1"/>
    <s v="Cancelled"/>
    <n v="3.8"/>
    <n v="0.27525242160564767"/>
    <n v="2411.8000000000002"/>
    <x v="0"/>
  </r>
  <r>
    <n v="409"/>
    <n v="8128"/>
    <x v="3"/>
    <x v="1"/>
    <n v="1822"/>
    <n v="4"/>
    <n v="7288"/>
    <x v="12"/>
    <x v="1"/>
    <x v="4"/>
    <s v="Pending"/>
    <n v="4.0999999999999996"/>
    <n v="0.29569703622392973"/>
    <n v="31.36"/>
    <x v="1"/>
  </r>
  <r>
    <n v="410"/>
    <n v="7747"/>
    <x v="1"/>
    <x v="2"/>
    <n v="35802"/>
    <n v="3"/>
    <n v="107406"/>
    <x v="195"/>
    <x v="3"/>
    <x v="4"/>
    <s v="Pending"/>
    <n v="2.2999999999999998"/>
    <n v="5.277749846377297E-2"/>
    <n v="26553.18"/>
    <x v="1"/>
  </r>
  <r>
    <n v="411"/>
    <n v="8532"/>
    <x v="5"/>
    <x v="2"/>
    <n v="13767"/>
    <n v="4"/>
    <n v="55068"/>
    <x v="246"/>
    <x v="3"/>
    <x v="0"/>
    <s v="Pending"/>
    <n v="3.4"/>
    <n v="0.26950915232076705"/>
    <n v="1679.07"/>
    <x v="0"/>
  </r>
  <r>
    <n v="412"/>
    <n v="4692"/>
    <x v="0"/>
    <x v="1"/>
    <n v="30355"/>
    <n v="4"/>
    <n v="121420"/>
    <x v="247"/>
    <x v="0"/>
    <x v="1"/>
    <s v="Cancelled"/>
    <n v="3.5"/>
    <n v="0.29946236204908583"/>
    <n v="65.28"/>
    <x v="0"/>
  </r>
  <r>
    <n v="413"/>
    <n v="5451"/>
    <x v="4"/>
    <x v="1"/>
    <n v="32450"/>
    <n v="3"/>
    <n v="97350"/>
    <x v="230"/>
    <x v="3"/>
    <x v="1"/>
    <s v="Pending"/>
    <n v="3.7"/>
    <n v="0.14101592193117615"/>
    <n v="15477.1"/>
    <x v="1"/>
  </r>
  <r>
    <n v="414"/>
    <n v="7984"/>
    <x v="1"/>
    <x v="2"/>
    <n v="11502"/>
    <n v="1"/>
    <n v="11502"/>
    <x v="202"/>
    <x v="3"/>
    <x v="0"/>
    <s v="Pending"/>
    <n v="3.9"/>
    <n v="0.1092679533994088"/>
    <n v="2193.8000000000002"/>
    <x v="0"/>
  </r>
  <r>
    <n v="415"/>
    <n v="4146"/>
    <x v="3"/>
    <x v="0"/>
    <n v="23027"/>
    <n v="4"/>
    <n v="92108"/>
    <x v="241"/>
    <x v="0"/>
    <x v="2"/>
    <s v="Pending"/>
    <n v="2.4"/>
    <n v="0.10703956225300734"/>
    <n v="17773.2"/>
    <x v="0"/>
  </r>
  <r>
    <n v="416"/>
    <n v="9329"/>
    <x v="1"/>
    <x v="2"/>
    <n v="33189"/>
    <n v="2"/>
    <n v="66378"/>
    <x v="160"/>
    <x v="3"/>
    <x v="2"/>
    <s v="Cancelled"/>
    <n v="5"/>
    <n v="0.27159344963692794"/>
    <n v="1885.57"/>
    <x v="0"/>
  </r>
  <r>
    <n v="417"/>
    <n v="4922"/>
    <x v="1"/>
    <x v="1"/>
    <n v="7404"/>
    <n v="1"/>
    <n v="7404"/>
    <x v="44"/>
    <x v="0"/>
    <x v="0"/>
    <s v="Cancelled"/>
    <n v="2.1"/>
    <n v="0.20730821177741762"/>
    <n v="686.29"/>
    <x v="1"/>
  </r>
  <r>
    <n v="418"/>
    <n v="2750"/>
    <x v="3"/>
    <x v="0"/>
    <n v="7658"/>
    <n v="3"/>
    <n v="22974"/>
    <x v="214"/>
    <x v="0"/>
    <x v="2"/>
    <s v="Cancelled"/>
    <n v="3.5"/>
    <n v="0.22986637067989901"/>
    <n v="1611.25"/>
    <x v="1"/>
  </r>
  <r>
    <n v="419"/>
    <n v="1614"/>
    <x v="3"/>
    <x v="1"/>
    <n v="39604"/>
    <n v="2"/>
    <n v="79208"/>
    <x v="90"/>
    <x v="2"/>
    <x v="2"/>
    <s v="Delivered"/>
    <n v="4.7"/>
    <n v="0.19494457630542369"/>
    <n v="8321.23"/>
    <x v="0"/>
  </r>
  <r>
    <n v="420"/>
    <n v="9079"/>
    <x v="1"/>
    <x v="1"/>
    <n v="32700"/>
    <n v="4"/>
    <n v="130800"/>
    <x v="248"/>
    <x v="3"/>
    <x v="0"/>
    <s v="Pending"/>
    <n v="4.9000000000000004"/>
    <n v="0.2228961009174312"/>
    <n v="10085.19"/>
    <x v="1"/>
  </r>
  <r>
    <n v="421"/>
    <n v="7282"/>
    <x v="5"/>
    <x v="1"/>
    <n v="44100"/>
    <n v="1"/>
    <n v="44100"/>
    <x v="249"/>
    <x v="1"/>
    <x v="2"/>
    <s v="Pending"/>
    <n v="3.4"/>
    <n v="0.26219637188208617"/>
    <n v="1667.14"/>
    <x v="0"/>
  </r>
  <r>
    <n v="422"/>
    <n v="4098"/>
    <x v="2"/>
    <x v="0"/>
    <n v="46685"/>
    <n v="5"/>
    <n v="233425"/>
    <x v="5"/>
    <x v="3"/>
    <x v="1"/>
    <s v="Pending"/>
    <n v="3"/>
    <n v="0.20090363071650424"/>
    <n v="23131.57"/>
    <x v="0"/>
  </r>
  <r>
    <n v="423"/>
    <n v="1501"/>
    <x v="2"/>
    <x v="2"/>
    <n v="18836"/>
    <n v="5"/>
    <n v="94180"/>
    <x v="250"/>
    <x v="2"/>
    <x v="0"/>
    <s v="Delivered"/>
    <n v="3.3"/>
    <n v="0.22362752176682948"/>
    <n v="7192.76"/>
    <x v="1"/>
  </r>
  <r>
    <n v="424"/>
    <n v="3024"/>
    <x v="5"/>
    <x v="0"/>
    <n v="21626"/>
    <n v="4"/>
    <n v="86504"/>
    <x v="89"/>
    <x v="1"/>
    <x v="4"/>
    <s v="Cancelled"/>
    <n v="3.7"/>
    <n v="0.22626664662905763"/>
    <n v="6378.23"/>
    <x v="1"/>
  </r>
  <r>
    <n v="425"/>
    <n v="6034"/>
    <x v="1"/>
    <x v="0"/>
    <n v="19377"/>
    <n v="5"/>
    <n v="96885"/>
    <x v="251"/>
    <x v="1"/>
    <x v="4"/>
    <s v="Delivered"/>
    <n v="3"/>
    <n v="0.23849842596893223"/>
    <n v="5958.58"/>
    <x v="0"/>
  </r>
  <r>
    <n v="426"/>
    <n v="7695"/>
    <x v="4"/>
    <x v="1"/>
    <n v="40332"/>
    <n v="4"/>
    <n v="161328"/>
    <x v="117"/>
    <x v="0"/>
    <x v="0"/>
    <s v="Delivered"/>
    <n v="4.0999999999999996"/>
    <n v="0.19353720370921354"/>
    <n v="17175.43"/>
    <x v="1"/>
  </r>
  <r>
    <n v="427"/>
    <n v="7564"/>
    <x v="5"/>
    <x v="2"/>
    <n v="4518"/>
    <n v="1"/>
    <n v="4518"/>
    <x v="211"/>
    <x v="1"/>
    <x v="2"/>
    <s v="Pending"/>
    <n v="4.8"/>
    <n v="0.16822045152722442"/>
    <n v="595.38"/>
    <x v="1"/>
  </r>
  <r>
    <n v="428"/>
    <n v="8376"/>
    <x v="3"/>
    <x v="1"/>
    <n v="8049"/>
    <n v="1"/>
    <n v="8049"/>
    <x v="228"/>
    <x v="3"/>
    <x v="0"/>
    <s v="Cancelled"/>
    <n v="1.2"/>
    <n v="0.15559572617716488"/>
    <n v="1162.31"/>
    <x v="0"/>
  </r>
  <r>
    <n v="429"/>
    <n v="1680"/>
    <x v="3"/>
    <x v="0"/>
    <n v="22527"/>
    <n v="3"/>
    <n v="67581"/>
    <x v="204"/>
    <x v="1"/>
    <x v="3"/>
    <s v="Pending"/>
    <n v="3.6"/>
    <n v="0.11399446590017905"/>
    <n v="12570.44"/>
    <x v="0"/>
  </r>
  <r>
    <n v="430"/>
    <n v="8711"/>
    <x v="2"/>
    <x v="1"/>
    <n v="44126"/>
    <n v="4"/>
    <n v="176504"/>
    <x v="250"/>
    <x v="3"/>
    <x v="4"/>
    <s v="Delivered"/>
    <n v="3"/>
    <n v="5.3371255042378642E-2"/>
    <n v="43530.96"/>
    <x v="1"/>
  </r>
  <r>
    <n v="431"/>
    <n v="4110"/>
    <x v="4"/>
    <x v="1"/>
    <n v="4039"/>
    <n v="2"/>
    <n v="8078"/>
    <x v="239"/>
    <x v="2"/>
    <x v="3"/>
    <s v="Delivered"/>
    <n v="3.9"/>
    <n v="0.21373359742510523"/>
    <n v="696.86"/>
    <x v="1"/>
  </r>
  <r>
    <n v="432"/>
    <n v="8513"/>
    <x v="1"/>
    <x v="1"/>
    <n v="42070"/>
    <n v="4"/>
    <n v="168280"/>
    <x v="175"/>
    <x v="2"/>
    <x v="3"/>
    <s v="Delivered"/>
    <n v="2.8"/>
    <n v="9.8659139529355844E-2"/>
    <n v="33881.64"/>
    <x v="1"/>
  </r>
  <r>
    <n v="433"/>
    <n v="7232"/>
    <x v="2"/>
    <x v="2"/>
    <n v="27056"/>
    <n v="5"/>
    <n v="135280"/>
    <x v="197"/>
    <x v="0"/>
    <x v="4"/>
    <s v="Cancelled"/>
    <n v="1.4"/>
    <n v="0.26662026907155528"/>
    <n v="4515.6099999999997"/>
    <x v="0"/>
  </r>
  <r>
    <n v="434"/>
    <n v="4654"/>
    <x v="0"/>
    <x v="0"/>
    <n v="27735"/>
    <n v="4"/>
    <n v="110940"/>
    <x v="76"/>
    <x v="3"/>
    <x v="4"/>
    <s v="Pending"/>
    <n v="2.1"/>
    <n v="0.21665251487290427"/>
    <n v="9246.57"/>
    <x v="1"/>
  </r>
  <r>
    <n v="435"/>
    <n v="1204"/>
    <x v="0"/>
    <x v="0"/>
    <n v="45814"/>
    <n v="1"/>
    <n v="45814"/>
    <x v="252"/>
    <x v="3"/>
    <x v="1"/>
    <s v="Pending"/>
    <n v="4.3"/>
    <n v="0.29178351595582136"/>
    <n v="376.43"/>
    <x v="1"/>
  </r>
  <r>
    <n v="436"/>
    <n v="6318"/>
    <x v="4"/>
    <x v="2"/>
    <n v="1834"/>
    <n v="2"/>
    <n v="3668"/>
    <x v="2"/>
    <x v="1"/>
    <x v="0"/>
    <s v="Delivered"/>
    <n v="3.9"/>
    <n v="0.22964558342420938"/>
    <n v="258.06"/>
    <x v="0"/>
  </r>
  <r>
    <n v="437"/>
    <n v="4455"/>
    <x v="2"/>
    <x v="2"/>
    <n v="4865"/>
    <n v="3"/>
    <n v="14595"/>
    <x v="253"/>
    <x v="3"/>
    <x v="2"/>
    <s v="Cancelled"/>
    <n v="2.2999999999999998"/>
    <n v="0.1357848578280233"/>
    <n v="2396.7199999999998"/>
    <x v="1"/>
  </r>
  <r>
    <n v="438"/>
    <n v="9037"/>
    <x v="5"/>
    <x v="2"/>
    <n v="13243"/>
    <n v="1"/>
    <n v="13243"/>
    <x v="69"/>
    <x v="2"/>
    <x v="0"/>
    <s v="Cancelled"/>
    <n v="2.6"/>
    <n v="0.21745072868685342"/>
    <n v="1093.2"/>
    <x v="0"/>
  </r>
  <r>
    <n v="439"/>
    <n v="5371"/>
    <x v="0"/>
    <x v="0"/>
    <n v="14407"/>
    <n v="3"/>
    <n v="43221"/>
    <x v="254"/>
    <x v="1"/>
    <x v="4"/>
    <s v="Cancelled"/>
    <n v="2.2999999999999998"/>
    <n v="0.1532558247148377"/>
    <n v="6342.43"/>
    <x v="0"/>
  </r>
  <r>
    <n v="440"/>
    <n v="7014"/>
    <x v="4"/>
    <x v="0"/>
    <n v="22826"/>
    <n v="4"/>
    <n v="91304"/>
    <x v="68"/>
    <x v="2"/>
    <x v="4"/>
    <s v="Delivered"/>
    <n v="4"/>
    <n v="0.186121418557785"/>
    <n v="10397.57"/>
    <x v="0"/>
  </r>
  <r>
    <n v="441"/>
    <n v="4343"/>
    <x v="1"/>
    <x v="1"/>
    <n v="9846"/>
    <n v="1"/>
    <n v="9846"/>
    <x v="141"/>
    <x v="1"/>
    <x v="0"/>
    <s v="Delivered"/>
    <n v="1.7"/>
    <n v="0.26560125939467805"/>
    <n v="338.69"/>
    <x v="0"/>
  </r>
  <r>
    <n v="442"/>
    <n v="6029"/>
    <x v="2"/>
    <x v="0"/>
    <n v="47169"/>
    <n v="3"/>
    <n v="141507"/>
    <x v="161"/>
    <x v="2"/>
    <x v="2"/>
    <s v="Delivered"/>
    <n v="4.3"/>
    <n v="0.26061035849816616"/>
    <n v="5573.91"/>
    <x v="1"/>
  </r>
  <r>
    <n v="443"/>
    <n v="3634"/>
    <x v="1"/>
    <x v="2"/>
    <n v="46700"/>
    <n v="5"/>
    <n v="233500"/>
    <x v="248"/>
    <x v="3"/>
    <x v="4"/>
    <s v="Delivered"/>
    <n v="4.7"/>
    <n v="0.22917734475374735"/>
    <n v="16537.09"/>
    <x v="1"/>
  </r>
  <r>
    <n v="444"/>
    <n v="4109"/>
    <x v="1"/>
    <x v="2"/>
    <n v="1723"/>
    <n v="2"/>
    <n v="3446"/>
    <x v="48"/>
    <x v="3"/>
    <x v="0"/>
    <s v="Cancelled"/>
    <n v="1.5"/>
    <n v="0.28553685432385373"/>
    <n v="49.84"/>
    <x v="0"/>
  </r>
  <r>
    <n v="445"/>
    <n v="9550"/>
    <x v="0"/>
    <x v="1"/>
    <n v="38989"/>
    <n v="4"/>
    <n v="155956"/>
    <x v="236"/>
    <x v="0"/>
    <x v="0"/>
    <s v="Pending"/>
    <n v="2.8"/>
    <n v="0.29787145092205491"/>
    <n v="331.96"/>
    <x v="0"/>
  </r>
  <r>
    <n v="446"/>
    <n v="9312"/>
    <x v="1"/>
    <x v="0"/>
    <n v="21204"/>
    <n v="4"/>
    <n v="84816"/>
    <x v="81"/>
    <x v="0"/>
    <x v="0"/>
    <s v="Cancelled"/>
    <n v="2"/>
    <n v="0.24513664874551969"/>
    <n v="4653.29"/>
    <x v="0"/>
  </r>
  <r>
    <n v="447"/>
    <n v="1114"/>
    <x v="4"/>
    <x v="1"/>
    <n v="33178"/>
    <n v="1"/>
    <n v="33178"/>
    <x v="2"/>
    <x v="3"/>
    <x v="2"/>
    <s v="Pending"/>
    <n v="2.1"/>
    <n v="0.27546175176321658"/>
    <n v="814.13"/>
    <x v="1"/>
  </r>
  <r>
    <n v="448"/>
    <n v="9201"/>
    <x v="1"/>
    <x v="1"/>
    <n v="29590"/>
    <n v="2"/>
    <n v="59180"/>
    <x v="0"/>
    <x v="0"/>
    <x v="2"/>
    <s v="Pending"/>
    <n v="2.7"/>
    <n v="5.5904528556944909E-2"/>
    <n v="14445.57"/>
    <x v="1"/>
  </r>
  <r>
    <n v="449"/>
    <n v="1139"/>
    <x v="5"/>
    <x v="1"/>
    <n v="42909"/>
    <n v="1"/>
    <n v="42909"/>
    <x v="208"/>
    <x v="2"/>
    <x v="2"/>
    <s v="Cancelled"/>
    <n v="3.1"/>
    <n v="0.21851220023771237"/>
    <n v="3496.56"/>
    <x v="1"/>
  </r>
  <r>
    <n v="450"/>
    <n v="3614"/>
    <x v="0"/>
    <x v="0"/>
    <n v="47327"/>
    <n v="3"/>
    <n v="141981"/>
    <x v="242"/>
    <x v="0"/>
    <x v="3"/>
    <s v="Pending"/>
    <n v="3.6"/>
    <n v="0.15830674526873315"/>
    <n v="20117.75"/>
    <x v="1"/>
  </r>
  <r>
    <n v="451"/>
    <n v="6940"/>
    <x v="5"/>
    <x v="2"/>
    <n v="26686"/>
    <n v="4"/>
    <n v="106744"/>
    <x v="252"/>
    <x v="3"/>
    <x v="3"/>
    <s v="Cancelled"/>
    <n v="4.5999999999999996"/>
    <n v="0.29230270553848459"/>
    <n v="821.64"/>
    <x v="0"/>
  </r>
  <r>
    <n v="452"/>
    <n v="1521"/>
    <x v="4"/>
    <x v="2"/>
    <n v="5144"/>
    <n v="5"/>
    <n v="25720"/>
    <x v="91"/>
    <x v="3"/>
    <x v="4"/>
    <s v="Pending"/>
    <n v="1.8"/>
    <n v="0.15811508553654743"/>
    <n v="3649.28"/>
    <x v="0"/>
  </r>
  <r>
    <n v="453"/>
    <n v="1234"/>
    <x v="3"/>
    <x v="0"/>
    <n v="9852"/>
    <n v="5"/>
    <n v="49260"/>
    <x v="255"/>
    <x v="1"/>
    <x v="3"/>
    <s v="Cancelled"/>
    <n v="1"/>
    <n v="0.24363662200568414"/>
    <n v="2776.46"/>
    <x v="0"/>
  </r>
  <r>
    <n v="454"/>
    <n v="7581"/>
    <x v="5"/>
    <x v="2"/>
    <n v="40966"/>
    <n v="4"/>
    <n v="163864"/>
    <x v="256"/>
    <x v="3"/>
    <x v="2"/>
    <s v="Pending"/>
    <n v="1.2"/>
    <n v="0.11581872772543085"/>
    <n v="30180.68"/>
    <x v="1"/>
  </r>
  <r>
    <n v="455"/>
    <n v="2012"/>
    <x v="0"/>
    <x v="2"/>
    <n v="20268"/>
    <n v="3"/>
    <n v="60804"/>
    <x v="212"/>
    <x v="1"/>
    <x v="3"/>
    <s v="Delivered"/>
    <n v="3.9"/>
    <n v="0.25967370567725806"/>
    <n v="2452"/>
    <x v="0"/>
  </r>
  <r>
    <n v="456"/>
    <n v="7445"/>
    <x v="5"/>
    <x v="0"/>
    <n v="20381"/>
    <n v="1"/>
    <n v="20381"/>
    <x v="28"/>
    <x v="2"/>
    <x v="4"/>
    <s v="Cancelled"/>
    <n v="3.9"/>
    <n v="0.13108188999558412"/>
    <n v="3442.72"/>
    <x v="1"/>
  </r>
  <r>
    <n v="457"/>
    <n v="5691"/>
    <x v="3"/>
    <x v="2"/>
    <n v="38077"/>
    <n v="3"/>
    <n v="114231"/>
    <x v="165"/>
    <x v="2"/>
    <x v="4"/>
    <s v="Cancelled"/>
    <n v="2"/>
    <n v="9.3527151123600424E-2"/>
    <n v="23585.599999999999"/>
    <x v="0"/>
  </r>
  <r>
    <n v="458"/>
    <n v="6372"/>
    <x v="3"/>
    <x v="1"/>
    <n v="40756"/>
    <n v="4"/>
    <n v="163024"/>
    <x v="191"/>
    <x v="0"/>
    <x v="0"/>
    <s v="Cancelled"/>
    <n v="1.1000000000000001"/>
    <n v="0.16751447639611347"/>
    <n v="21598.32"/>
    <x v="0"/>
  </r>
  <r>
    <n v="459"/>
    <n v="4971"/>
    <x v="1"/>
    <x v="0"/>
    <n v="35357"/>
    <n v="3"/>
    <n v="106071"/>
    <x v="216"/>
    <x v="3"/>
    <x v="3"/>
    <s v="Pending"/>
    <n v="1.6"/>
    <n v="0.10564914066992863"/>
    <n v="20614.990000000002"/>
    <x v="1"/>
  </r>
  <r>
    <n v="460"/>
    <n v="5362"/>
    <x v="2"/>
    <x v="0"/>
    <n v="28254"/>
    <n v="4"/>
    <n v="113016"/>
    <x v="257"/>
    <x v="1"/>
    <x v="0"/>
    <s v="Pending"/>
    <n v="3.4"/>
    <n v="0.23461686840801302"/>
    <n v="7389.34"/>
    <x v="0"/>
  </r>
  <r>
    <n v="461"/>
    <n v="6635"/>
    <x v="2"/>
    <x v="1"/>
    <n v="45390"/>
    <n v="1"/>
    <n v="45390"/>
    <x v="164"/>
    <x v="3"/>
    <x v="2"/>
    <s v="Pending"/>
    <n v="3"/>
    <n v="6.6719982374972467E-2"/>
    <n v="10588.58"/>
    <x v="1"/>
  </r>
  <r>
    <n v="462"/>
    <n v="3812"/>
    <x v="4"/>
    <x v="2"/>
    <n v="20332"/>
    <n v="4"/>
    <n v="81328"/>
    <x v="61"/>
    <x v="1"/>
    <x v="2"/>
    <s v="Delivered"/>
    <n v="4.5999999999999996"/>
    <n v="0.24613257426716506"/>
    <n v="4380.93"/>
    <x v="1"/>
  </r>
  <r>
    <n v="463"/>
    <n v="2695"/>
    <x v="3"/>
    <x v="2"/>
    <n v="3945"/>
    <n v="3"/>
    <n v="11835"/>
    <x v="29"/>
    <x v="1"/>
    <x v="4"/>
    <s v="Delivered"/>
    <n v="3.1"/>
    <n v="8.2867765103506547E-2"/>
    <n v="2569.7600000000002"/>
    <x v="1"/>
  </r>
  <r>
    <n v="464"/>
    <n v="8786"/>
    <x v="3"/>
    <x v="0"/>
    <n v="37249"/>
    <n v="4"/>
    <n v="148996"/>
    <x v="8"/>
    <x v="3"/>
    <x v="4"/>
    <s v="Pending"/>
    <n v="1.2"/>
    <n v="0.27524329512201673"/>
    <n v="3688.65"/>
    <x v="0"/>
  </r>
  <r>
    <n v="465"/>
    <n v="6221"/>
    <x v="3"/>
    <x v="1"/>
    <n v="10089"/>
    <n v="1"/>
    <n v="10089"/>
    <x v="258"/>
    <x v="1"/>
    <x v="1"/>
    <s v="Delivered"/>
    <n v="2.8"/>
    <n v="0.27807414015264148"/>
    <n v="221.21"/>
    <x v="1"/>
  </r>
  <r>
    <n v="466"/>
    <n v="4200"/>
    <x v="2"/>
    <x v="0"/>
    <n v="48239"/>
    <n v="5"/>
    <n v="241195"/>
    <x v="259"/>
    <x v="3"/>
    <x v="3"/>
    <s v="Cancelled"/>
    <n v="3.4"/>
    <n v="0.26276601919608616"/>
    <n v="8980.65"/>
    <x v="0"/>
  </r>
  <r>
    <n v="467"/>
    <n v="1128"/>
    <x v="5"/>
    <x v="2"/>
    <n v="31430"/>
    <n v="4"/>
    <n v="125720"/>
    <x v="174"/>
    <x v="0"/>
    <x v="3"/>
    <s v="Pending"/>
    <n v="4"/>
    <n v="0.11902251034043908"/>
    <n v="22752.49"/>
    <x v="0"/>
  </r>
  <r>
    <n v="468"/>
    <n v="2844"/>
    <x v="5"/>
    <x v="1"/>
    <n v="13784"/>
    <n v="2"/>
    <n v="27568"/>
    <x v="116"/>
    <x v="1"/>
    <x v="3"/>
    <s v="Pending"/>
    <n v="3.7"/>
    <n v="0.1462547156123041"/>
    <n v="4238.45"/>
    <x v="1"/>
  </r>
  <r>
    <n v="469"/>
    <n v="6817"/>
    <x v="2"/>
    <x v="0"/>
    <n v="5168"/>
    <n v="5"/>
    <n v="25840"/>
    <x v="260"/>
    <x v="1"/>
    <x v="0"/>
    <s v="Pending"/>
    <n v="3.6"/>
    <n v="0.21544195046439629"/>
    <n v="2184.98"/>
    <x v="0"/>
  </r>
  <r>
    <n v="470"/>
    <n v="8817"/>
    <x v="1"/>
    <x v="1"/>
    <n v="3620"/>
    <n v="5"/>
    <n v="18100"/>
    <x v="261"/>
    <x v="2"/>
    <x v="2"/>
    <s v="Delivered"/>
    <n v="4.5999999999999996"/>
    <n v="0.10642320441988951"/>
    <n v="3503.74"/>
    <x v="1"/>
  </r>
  <r>
    <n v="471"/>
    <n v="7094"/>
    <x v="3"/>
    <x v="1"/>
    <n v="4877"/>
    <n v="2"/>
    <n v="9754"/>
    <x v="55"/>
    <x v="0"/>
    <x v="0"/>
    <s v="Cancelled"/>
    <n v="2.2999999999999998"/>
    <n v="6.5574123436538859E-2"/>
    <n v="2286.59"/>
    <x v="0"/>
  </r>
  <r>
    <n v="472"/>
    <n v="7157"/>
    <x v="0"/>
    <x v="1"/>
    <n v="31823"/>
    <n v="1"/>
    <n v="31823"/>
    <x v="262"/>
    <x v="0"/>
    <x v="3"/>
    <s v="Delivered"/>
    <n v="2.5"/>
    <n v="0.21080570656443454"/>
    <n v="2838.43"/>
    <x v="0"/>
  </r>
  <r>
    <n v="473"/>
    <n v="8139"/>
    <x v="4"/>
    <x v="2"/>
    <n v="22602"/>
    <n v="4"/>
    <n v="90408"/>
    <x v="191"/>
    <x v="0"/>
    <x v="2"/>
    <s v="Pending"/>
    <n v="1.2"/>
    <n v="0.18249955756127775"/>
    <n v="10622.98"/>
    <x v="1"/>
  </r>
  <r>
    <n v="474"/>
    <n v="8363"/>
    <x v="2"/>
    <x v="2"/>
    <n v="15077"/>
    <n v="1"/>
    <n v="15077"/>
    <x v="263"/>
    <x v="0"/>
    <x v="4"/>
    <s v="Delivered"/>
    <n v="3.5"/>
    <n v="0.10136233998806128"/>
    <n v="2994.86"/>
    <x v="1"/>
  </r>
  <r>
    <n v="475"/>
    <n v="3699"/>
    <x v="4"/>
    <x v="2"/>
    <n v="36508"/>
    <n v="5"/>
    <n v="182540"/>
    <x v="199"/>
    <x v="0"/>
    <x v="2"/>
    <s v="Delivered"/>
    <n v="2.5"/>
    <n v="9.2115755450860093E-2"/>
    <n v="37947.19"/>
    <x v="0"/>
  </r>
  <r>
    <n v="476"/>
    <n v="9063"/>
    <x v="3"/>
    <x v="0"/>
    <n v="49424"/>
    <n v="5"/>
    <n v="247120"/>
    <x v="102"/>
    <x v="1"/>
    <x v="3"/>
    <s v="Delivered"/>
    <n v="3.3"/>
    <n v="6.3428172547750086E-2"/>
    <n v="58461.63"/>
    <x v="1"/>
  </r>
  <r>
    <n v="477"/>
    <n v="4167"/>
    <x v="1"/>
    <x v="0"/>
    <n v="17750"/>
    <n v="3"/>
    <n v="53250"/>
    <x v="246"/>
    <x v="2"/>
    <x v="3"/>
    <s v="Delivered"/>
    <n v="2.8"/>
    <n v="0.11851605633802816"/>
    <n v="9664.02"/>
    <x v="0"/>
  </r>
  <r>
    <n v="478"/>
    <n v="1134"/>
    <x v="1"/>
    <x v="0"/>
    <n v="20814"/>
    <n v="1"/>
    <n v="20814"/>
    <x v="146"/>
    <x v="3"/>
    <x v="4"/>
    <s v="Cancelled"/>
    <n v="1.2"/>
    <n v="0.16970981070433364"/>
    <n v="2711.86"/>
    <x v="1"/>
  </r>
  <r>
    <n v="479"/>
    <n v="1585"/>
    <x v="5"/>
    <x v="2"/>
    <n v="47114"/>
    <n v="1"/>
    <n v="47114"/>
    <x v="264"/>
    <x v="0"/>
    <x v="2"/>
    <s v="Delivered"/>
    <n v="4.3"/>
    <n v="0.22667826972874303"/>
    <n v="3454.48"/>
    <x v="1"/>
  </r>
  <r>
    <n v="480"/>
    <n v="1621"/>
    <x v="1"/>
    <x v="1"/>
    <n v="15778"/>
    <n v="5"/>
    <n v="78890"/>
    <x v="195"/>
    <x v="2"/>
    <x v="4"/>
    <s v="Delivered"/>
    <n v="1.3"/>
    <n v="0.28856483711497022"/>
    <n v="902.12"/>
    <x v="0"/>
  </r>
  <r>
    <n v="481"/>
    <n v="5588"/>
    <x v="4"/>
    <x v="1"/>
    <n v="45973"/>
    <n v="5"/>
    <n v="229865"/>
    <x v="265"/>
    <x v="3"/>
    <x v="2"/>
    <s v="Pending"/>
    <n v="3.6"/>
    <n v="0.28612803167076328"/>
    <n v="3188.68"/>
    <x v="0"/>
  </r>
  <r>
    <n v="482"/>
    <n v="1959"/>
    <x v="1"/>
    <x v="2"/>
    <n v="3818"/>
    <n v="2"/>
    <n v="7636"/>
    <x v="266"/>
    <x v="2"/>
    <x v="3"/>
    <s v="Delivered"/>
    <n v="3"/>
    <n v="0.17132268203247775"/>
    <n v="982.58"/>
    <x v="1"/>
  </r>
  <r>
    <n v="483"/>
    <n v="6729"/>
    <x v="5"/>
    <x v="2"/>
    <n v="30977"/>
    <n v="3"/>
    <n v="92931"/>
    <x v="86"/>
    <x v="1"/>
    <x v="4"/>
    <s v="Pending"/>
    <n v="1.5"/>
    <n v="0.29554906328351138"/>
    <n v="413.63"/>
    <x v="1"/>
  </r>
  <r>
    <n v="484"/>
    <n v="1502"/>
    <x v="5"/>
    <x v="1"/>
    <n v="26841"/>
    <n v="1"/>
    <n v="26841"/>
    <x v="75"/>
    <x v="3"/>
    <x v="3"/>
    <s v="Delivered"/>
    <n v="3.7"/>
    <n v="0.26116687157706492"/>
    <n v="1042.32"/>
    <x v="0"/>
  </r>
  <r>
    <n v="485"/>
    <n v="6039"/>
    <x v="0"/>
    <x v="1"/>
    <n v="35979"/>
    <n v="1"/>
    <n v="35979"/>
    <x v="267"/>
    <x v="1"/>
    <x v="0"/>
    <s v="Pending"/>
    <n v="2.2999999999999998"/>
    <n v="0.11001806609411045"/>
    <n v="6835.36"/>
    <x v="1"/>
  </r>
  <r>
    <n v="486"/>
    <n v="9354"/>
    <x v="4"/>
    <x v="1"/>
    <n v="47008"/>
    <n v="4"/>
    <n v="188032"/>
    <x v="268"/>
    <x v="2"/>
    <x v="4"/>
    <s v="Cancelled"/>
    <n v="3.1"/>
    <n v="0.24348403463240301"/>
    <n v="10626.81"/>
    <x v="0"/>
  </r>
  <r>
    <n v="487"/>
    <n v="6834"/>
    <x v="3"/>
    <x v="1"/>
    <n v="34646"/>
    <n v="2"/>
    <n v="69292"/>
    <x v="269"/>
    <x v="2"/>
    <x v="0"/>
    <s v="Delivered"/>
    <n v="1.7"/>
    <n v="0.20893551925186168"/>
    <n v="6310.04"/>
    <x v="0"/>
  </r>
  <r>
    <n v="488"/>
    <n v="3776"/>
    <x v="1"/>
    <x v="0"/>
    <n v="16550"/>
    <n v="4"/>
    <n v="66200"/>
    <x v="270"/>
    <x v="0"/>
    <x v="4"/>
    <s v="Delivered"/>
    <n v="1.8"/>
    <n v="9.8530362537764357E-2"/>
    <n v="13337.29"/>
    <x v="0"/>
  </r>
  <r>
    <n v="489"/>
    <n v="3955"/>
    <x v="4"/>
    <x v="1"/>
    <n v="40832"/>
    <n v="2"/>
    <n v="81664"/>
    <x v="271"/>
    <x v="3"/>
    <x v="3"/>
    <s v="Pending"/>
    <n v="2.6"/>
    <n v="0.29341631563479625"/>
    <n v="537.65"/>
    <x v="0"/>
  </r>
  <r>
    <n v="490"/>
    <n v="3471"/>
    <x v="4"/>
    <x v="0"/>
    <n v="46132"/>
    <n v="1"/>
    <n v="46132"/>
    <x v="169"/>
    <x v="0"/>
    <x v="1"/>
    <s v="Pending"/>
    <n v="2.1"/>
    <n v="6.3105870111852938E-2"/>
    <n v="10928.4"/>
    <x v="0"/>
  </r>
  <r>
    <n v="491"/>
    <n v="2051"/>
    <x v="0"/>
    <x v="0"/>
    <n v="28182"/>
    <n v="3"/>
    <n v="84546"/>
    <x v="11"/>
    <x v="1"/>
    <x v="0"/>
    <s v="Cancelled"/>
    <n v="1.8"/>
    <n v="5.2070588791900262E-2"/>
    <n v="20961.439999999999"/>
    <x v="1"/>
  </r>
  <r>
    <n v="492"/>
    <n v="5681"/>
    <x v="1"/>
    <x v="0"/>
    <n v="31957"/>
    <n v="2"/>
    <n v="63914"/>
    <x v="63"/>
    <x v="1"/>
    <x v="0"/>
    <s v="Pending"/>
    <n v="3.2"/>
    <n v="0.14265372218919173"/>
    <n v="10056.629999999999"/>
    <x v="0"/>
  </r>
  <r>
    <n v="493"/>
    <n v="3427"/>
    <x v="4"/>
    <x v="1"/>
    <n v="34193"/>
    <n v="4"/>
    <n v="136772"/>
    <x v="93"/>
    <x v="1"/>
    <x v="0"/>
    <s v="Delivered"/>
    <n v="1.5"/>
    <n v="0.13368306378498521"/>
    <n v="22747.5"/>
    <x v="1"/>
  </r>
  <r>
    <n v="494"/>
    <n v="8659"/>
    <x v="2"/>
    <x v="0"/>
    <n v="31982"/>
    <n v="4"/>
    <n v="127928"/>
    <x v="272"/>
    <x v="3"/>
    <x v="4"/>
    <s v="Delivered"/>
    <n v="2.5"/>
    <n v="0.16939731724094803"/>
    <n v="16707.740000000002"/>
    <x v="0"/>
  </r>
  <r>
    <n v="495"/>
    <n v="7204"/>
    <x v="0"/>
    <x v="1"/>
    <n v="46472"/>
    <n v="3"/>
    <n v="139416"/>
    <x v="218"/>
    <x v="2"/>
    <x v="2"/>
    <s v="Delivered"/>
    <n v="4.5"/>
    <n v="0.19593547369025077"/>
    <n v="14508.26"/>
    <x v="0"/>
  </r>
  <r>
    <n v="496"/>
    <n v="6808"/>
    <x v="3"/>
    <x v="2"/>
    <n v="6022"/>
    <n v="1"/>
    <n v="6022"/>
    <x v="273"/>
    <x v="0"/>
    <x v="0"/>
    <s v="Cancelled"/>
    <n v="4.5999999999999996"/>
    <n v="0.16771504483560279"/>
    <n v="796.62"/>
    <x v="0"/>
  </r>
  <r>
    <n v="497"/>
    <n v="2546"/>
    <x v="2"/>
    <x v="1"/>
    <n v="47154"/>
    <n v="4"/>
    <n v="188616"/>
    <x v="55"/>
    <x v="1"/>
    <x v="0"/>
    <s v="Pending"/>
    <n v="4.0999999999999996"/>
    <n v="0.15123128472664038"/>
    <n v="28060.16"/>
    <x v="0"/>
  </r>
  <r>
    <n v="498"/>
    <n v="2966"/>
    <x v="1"/>
    <x v="0"/>
    <n v="23162"/>
    <n v="4"/>
    <n v="92648"/>
    <x v="163"/>
    <x v="0"/>
    <x v="1"/>
    <s v="Delivered"/>
    <n v="1.3"/>
    <n v="0.18458574389085572"/>
    <n v="10692.9"/>
    <x v="1"/>
  </r>
  <r>
    <n v="499"/>
    <n v="5879"/>
    <x v="5"/>
    <x v="1"/>
    <n v="45082"/>
    <n v="1"/>
    <n v="45082"/>
    <x v="168"/>
    <x v="1"/>
    <x v="0"/>
    <s v="Cancelled"/>
    <n v="1.9"/>
    <n v="7.0974668382059361E-2"/>
    <n v="10324.92"/>
    <x v="0"/>
  </r>
  <r>
    <n v="500"/>
    <n v="3171"/>
    <x v="3"/>
    <x v="0"/>
    <n v="49548"/>
    <n v="3"/>
    <n v="148644"/>
    <x v="274"/>
    <x v="2"/>
    <x v="1"/>
    <s v="Pending"/>
    <n v="2.4"/>
    <n v="0.21818976884368019"/>
    <n v="12160.6"/>
    <x v="1"/>
  </r>
  <r>
    <n v="501"/>
    <n v="9159"/>
    <x v="5"/>
    <x v="1"/>
    <n v="28562"/>
    <n v="3"/>
    <n v="85686"/>
    <x v="36"/>
    <x v="2"/>
    <x v="3"/>
    <s v="Pending"/>
    <n v="5"/>
    <n v="0.10821476087108746"/>
    <n v="16433.310000000001"/>
    <x v="0"/>
  </r>
  <r>
    <n v="502"/>
    <n v="7290"/>
    <x v="2"/>
    <x v="2"/>
    <n v="47640"/>
    <n v="2"/>
    <n v="95280"/>
    <x v="222"/>
    <x v="3"/>
    <x v="4"/>
    <s v="Pending"/>
    <n v="4.9000000000000004"/>
    <n v="0.2564759655751469"/>
    <n v="4146.97"/>
    <x v="0"/>
  </r>
  <r>
    <n v="503"/>
    <n v="7581"/>
    <x v="2"/>
    <x v="2"/>
    <n v="568"/>
    <n v="3"/>
    <n v="1704"/>
    <x v="104"/>
    <x v="0"/>
    <x v="4"/>
    <s v="Pending"/>
    <n v="4.2"/>
    <n v="6.4313380281690147E-2"/>
    <n v="401.61"/>
    <x v="0"/>
  </r>
  <r>
    <n v="504"/>
    <n v="8628"/>
    <x v="4"/>
    <x v="0"/>
    <n v="11119"/>
    <n v="2"/>
    <n v="22238"/>
    <x v="247"/>
    <x v="1"/>
    <x v="1"/>
    <s v="Delivered"/>
    <n v="3"/>
    <n v="0.26707392751146686"/>
    <n v="732.21"/>
    <x v="0"/>
  </r>
  <r>
    <n v="505"/>
    <n v="5173"/>
    <x v="1"/>
    <x v="1"/>
    <n v="17472"/>
    <n v="5"/>
    <n v="87360"/>
    <x v="275"/>
    <x v="2"/>
    <x v="1"/>
    <s v="Cancelled"/>
    <n v="3.1"/>
    <n v="5.8433951465201465E-2"/>
    <n v="21103.21"/>
    <x v="0"/>
  </r>
  <r>
    <n v="506"/>
    <n v="6043"/>
    <x v="2"/>
    <x v="0"/>
    <n v="17098"/>
    <n v="5"/>
    <n v="85490"/>
    <x v="28"/>
    <x v="3"/>
    <x v="4"/>
    <s v="Delivered"/>
    <n v="3.3"/>
    <n v="0.14305649783600421"/>
    <n v="13417.1"/>
    <x v="1"/>
  </r>
  <r>
    <n v="507"/>
    <n v="5032"/>
    <x v="1"/>
    <x v="0"/>
    <n v="46712"/>
    <n v="3"/>
    <n v="140136"/>
    <x v="276"/>
    <x v="2"/>
    <x v="3"/>
    <s v="Delivered"/>
    <n v="4"/>
    <n v="0.13926093223725525"/>
    <n v="22525.33"/>
    <x v="0"/>
  </r>
  <r>
    <n v="508"/>
    <n v="3107"/>
    <x v="3"/>
    <x v="1"/>
    <n v="36052"/>
    <n v="1"/>
    <n v="36052"/>
    <x v="277"/>
    <x v="2"/>
    <x v="0"/>
    <s v="Cancelled"/>
    <n v="1.9"/>
    <n v="0.21914928436702541"/>
    <n v="2914.83"/>
    <x v="1"/>
  </r>
  <r>
    <n v="509"/>
    <n v="9563"/>
    <x v="0"/>
    <x v="1"/>
    <n v="25694"/>
    <n v="3"/>
    <n v="77082"/>
    <x v="214"/>
    <x v="1"/>
    <x v="4"/>
    <s v="Pending"/>
    <n v="4.9000000000000004"/>
    <n v="8.6456500869204228E-2"/>
    <n v="16460.36"/>
    <x v="1"/>
  </r>
  <r>
    <n v="510"/>
    <n v="3737"/>
    <x v="4"/>
    <x v="1"/>
    <n v="39524"/>
    <n v="3"/>
    <n v="118572"/>
    <x v="32"/>
    <x v="1"/>
    <x v="4"/>
    <s v="Cancelled"/>
    <n v="2.6"/>
    <n v="0.13235814526195053"/>
    <n v="19877.63"/>
    <x v="0"/>
  </r>
  <r>
    <n v="511"/>
    <n v="4457"/>
    <x v="3"/>
    <x v="0"/>
    <n v="31307"/>
    <n v="5"/>
    <n v="156535"/>
    <x v="182"/>
    <x v="3"/>
    <x v="2"/>
    <s v="Delivered"/>
    <n v="3.1"/>
    <n v="0.25508161114127831"/>
    <n v="7031.3"/>
    <x v="1"/>
  </r>
  <r>
    <n v="512"/>
    <n v="7161"/>
    <x v="0"/>
    <x v="2"/>
    <n v="11747"/>
    <n v="1"/>
    <n v="11747"/>
    <x v="76"/>
    <x v="2"/>
    <x v="1"/>
    <s v="Cancelled"/>
    <n v="4.8"/>
    <n v="9.3089299395590366E-2"/>
    <n v="2430.58"/>
    <x v="1"/>
  </r>
  <r>
    <n v="513"/>
    <n v="2033"/>
    <x v="5"/>
    <x v="0"/>
    <n v="1333"/>
    <n v="3"/>
    <n v="3999"/>
    <x v="114"/>
    <x v="0"/>
    <x v="1"/>
    <s v="Pending"/>
    <n v="2.4"/>
    <n v="0.19586646661665416"/>
    <n v="416.43"/>
    <x v="1"/>
  </r>
  <r>
    <n v="514"/>
    <n v="3696"/>
    <x v="2"/>
    <x v="0"/>
    <n v="35984"/>
    <n v="5"/>
    <n v="179920"/>
    <x v="108"/>
    <x v="2"/>
    <x v="0"/>
    <s v="Delivered"/>
    <n v="4.5999999999999996"/>
    <n v="0.27925033348154737"/>
    <n v="3733.28"/>
    <x v="0"/>
  </r>
  <r>
    <n v="515"/>
    <n v="2734"/>
    <x v="0"/>
    <x v="2"/>
    <n v="16109"/>
    <n v="1"/>
    <n v="16109"/>
    <x v="278"/>
    <x v="2"/>
    <x v="1"/>
    <s v="Pending"/>
    <n v="2.4"/>
    <n v="0.18157117139487242"/>
    <n v="1907.77"/>
    <x v="1"/>
  </r>
  <r>
    <n v="516"/>
    <n v="9868"/>
    <x v="2"/>
    <x v="1"/>
    <n v="49463"/>
    <n v="3"/>
    <n v="148389"/>
    <x v="133"/>
    <x v="1"/>
    <x v="3"/>
    <s v="Cancelled"/>
    <n v="1.3"/>
    <n v="0.26638079642021983"/>
    <n v="4988.72"/>
    <x v="1"/>
  </r>
  <r>
    <n v="517"/>
    <n v="6423"/>
    <x v="1"/>
    <x v="2"/>
    <n v="17017"/>
    <n v="2"/>
    <n v="34034"/>
    <x v="68"/>
    <x v="0"/>
    <x v="0"/>
    <s v="Cancelled"/>
    <n v="4.3"/>
    <n v="0.17530234471410941"/>
    <n v="4243.96"/>
    <x v="0"/>
  </r>
  <r>
    <n v="518"/>
    <n v="6615"/>
    <x v="1"/>
    <x v="1"/>
    <n v="5601"/>
    <n v="5"/>
    <n v="28005"/>
    <x v="11"/>
    <x v="2"/>
    <x v="3"/>
    <s v="Delivered"/>
    <n v="1.8"/>
    <n v="0.15888377075522228"/>
    <n v="3951.96"/>
    <x v="0"/>
  </r>
  <r>
    <n v="519"/>
    <n v="2861"/>
    <x v="5"/>
    <x v="1"/>
    <n v="19008"/>
    <n v="3"/>
    <n v="57024"/>
    <x v="279"/>
    <x v="0"/>
    <x v="1"/>
    <s v="Delivered"/>
    <n v="2.9"/>
    <n v="0.10497843013468014"/>
    <n v="11120.91"/>
    <x v="1"/>
  </r>
  <r>
    <n v="520"/>
    <n v="7600"/>
    <x v="0"/>
    <x v="2"/>
    <n v="41257"/>
    <n v="5"/>
    <n v="206285"/>
    <x v="196"/>
    <x v="3"/>
    <x v="3"/>
    <s v="Delivered"/>
    <n v="2.1"/>
    <n v="0.28979848268172675"/>
    <n v="2104.42"/>
    <x v="1"/>
  </r>
  <r>
    <n v="521"/>
    <n v="7832"/>
    <x v="4"/>
    <x v="0"/>
    <n v="46162"/>
    <n v="2"/>
    <n v="92324"/>
    <x v="221"/>
    <x v="0"/>
    <x v="2"/>
    <s v="Delivered"/>
    <n v="1.6"/>
    <n v="6.9726398336293918E-2"/>
    <n v="21259.78"/>
    <x v="1"/>
  </r>
  <r>
    <n v="522"/>
    <n v="4562"/>
    <x v="3"/>
    <x v="1"/>
    <n v="18916"/>
    <n v="5"/>
    <n v="94580"/>
    <x v="97"/>
    <x v="3"/>
    <x v="4"/>
    <s v="Delivered"/>
    <n v="3.8"/>
    <n v="0.27142450835271731"/>
    <n v="2702.67"/>
    <x v="0"/>
  </r>
  <r>
    <n v="523"/>
    <n v="9950"/>
    <x v="2"/>
    <x v="1"/>
    <n v="48752"/>
    <n v="3"/>
    <n v="146256"/>
    <x v="52"/>
    <x v="0"/>
    <x v="0"/>
    <s v="Cancelled"/>
    <n v="3.1"/>
    <n v="0.15860409145607701"/>
    <n v="20680"/>
    <x v="0"/>
  </r>
  <r>
    <n v="524"/>
    <n v="5058"/>
    <x v="1"/>
    <x v="1"/>
    <n v="43739"/>
    <n v="2"/>
    <n v="87478"/>
    <x v="96"/>
    <x v="1"/>
    <x v="1"/>
    <s v="Cancelled"/>
    <n v="3.7"/>
    <n v="0.29181176981641099"/>
    <n v="716.29"/>
    <x v="0"/>
  </r>
  <r>
    <n v="525"/>
    <n v="5476"/>
    <x v="4"/>
    <x v="0"/>
    <n v="42409"/>
    <n v="4"/>
    <n v="169636"/>
    <x v="273"/>
    <x v="0"/>
    <x v="3"/>
    <s v="Cancelled"/>
    <n v="4.2"/>
    <n v="0.25483163951048127"/>
    <n v="7662.18"/>
    <x v="0"/>
  </r>
  <r>
    <n v="526"/>
    <n v="7749"/>
    <x v="0"/>
    <x v="1"/>
    <n v="30437"/>
    <n v="5"/>
    <n v="152185"/>
    <x v="280"/>
    <x v="2"/>
    <x v="4"/>
    <s v="Cancelled"/>
    <n v="1.9"/>
    <n v="0.22518875053388968"/>
    <n v="11385.15"/>
    <x v="0"/>
  </r>
  <r>
    <n v="527"/>
    <n v="9458"/>
    <x v="5"/>
    <x v="1"/>
    <n v="37850"/>
    <n v="2"/>
    <n v="75700"/>
    <x v="98"/>
    <x v="1"/>
    <x v="3"/>
    <s v="Cancelled"/>
    <n v="3.5"/>
    <n v="0.11448546895640686"/>
    <n v="14043.45"/>
    <x v="0"/>
  </r>
  <r>
    <n v="528"/>
    <n v="9611"/>
    <x v="5"/>
    <x v="2"/>
    <n v="26164"/>
    <n v="3"/>
    <n v="78492"/>
    <x v="36"/>
    <x v="3"/>
    <x v="4"/>
    <s v="Pending"/>
    <n v="4.8"/>
    <n v="0.10695612291698518"/>
    <n v="15152.4"/>
    <x v="1"/>
  </r>
  <r>
    <n v="529"/>
    <n v="9792"/>
    <x v="5"/>
    <x v="1"/>
    <n v="24477"/>
    <n v="1"/>
    <n v="24477"/>
    <x v="80"/>
    <x v="2"/>
    <x v="4"/>
    <s v="Pending"/>
    <n v="2.1"/>
    <n v="7.0223883645871635E-2"/>
    <n v="5624.23"/>
    <x v="0"/>
  </r>
  <r>
    <n v="530"/>
    <n v="9274"/>
    <x v="0"/>
    <x v="2"/>
    <n v="32218"/>
    <n v="3"/>
    <n v="96654"/>
    <x v="162"/>
    <x v="2"/>
    <x v="4"/>
    <s v="Cancelled"/>
    <n v="1.6"/>
    <n v="0.11127930556417738"/>
    <n v="18240.61"/>
    <x v="1"/>
  </r>
  <r>
    <n v="531"/>
    <n v="4419"/>
    <x v="3"/>
    <x v="1"/>
    <n v="43342"/>
    <n v="5"/>
    <n v="216710"/>
    <x v="223"/>
    <x v="2"/>
    <x v="1"/>
    <s v="Delivered"/>
    <n v="3.8"/>
    <n v="0.1969704213003553"/>
    <n v="22327.54"/>
    <x v="1"/>
  </r>
  <r>
    <n v="532"/>
    <n v="2613"/>
    <x v="0"/>
    <x v="2"/>
    <n v="29827"/>
    <n v="5"/>
    <n v="149135"/>
    <x v="281"/>
    <x v="2"/>
    <x v="3"/>
    <s v="Cancelled"/>
    <n v="4.5999999999999996"/>
    <n v="0.16414007442920842"/>
    <n v="20261.47"/>
    <x v="1"/>
  </r>
  <r>
    <n v="533"/>
    <n v="4811"/>
    <x v="2"/>
    <x v="1"/>
    <n v="11517"/>
    <n v="2"/>
    <n v="23034"/>
    <x v="282"/>
    <x v="2"/>
    <x v="3"/>
    <s v="Pending"/>
    <n v="2.2999999999999998"/>
    <n v="0.22595684640097247"/>
    <n v="1705.51"/>
    <x v="1"/>
  </r>
  <r>
    <n v="534"/>
    <n v="5144"/>
    <x v="0"/>
    <x v="2"/>
    <n v="26369"/>
    <n v="4"/>
    <n v="105476"/>
    <x v="161"/>
    <x v="2"/>
    <x v="2"/>
    <s v="Cancelled"/>
    <n v="4.3"/>
    <n v="0.20252616709014373"/>
    <n v="10281.15"/>
    <x v="1"/>
  </r>
  <r>
    <n v="535"/>
    <n v="8090"/>
    <x v="1"/>
    <x v="1"/>
    <n v="1321"/>
    <n v="1"/>
    <n v="1321"/>
    <x v="2"/>
    <x v="2"/>
    <x v="0"/>
    <s v="Pending"/>
    <n v="1.3"/>
    <n v="7.8599545798637399E-2"/>
    <n v="292.47000000000003"/>
    <x v="0"/>
  </r>
  <r>
    <n v="536"/>
    <n v="8335"/>
    <x v="1"/>
    <x v="2"/>
    <n v="29980"/>
    <n v="2"/>
    <n v="59960"/>
    <x v="52"/>
    <x v="2"/>
    <x v="1"/>
    <s v="Pending"/>
    <n v="3"/>
    <n v="0.27946330887258169"/>
    <n v="1231.3800000000001"/>
    <x v="0"/>
  </r>
  <r>
    <n v="537"/>
    <n v="1895"/>
    <x v="5"/>
    <x v="0"/>
    <n v="45912"/>
    <n v="3"/>
    <n v="137736"/>
    <x v="125"/>
    <x v="0"/>
    <x v="2"/>
    <s v="Delivered"/>
    <n v="3.3"/>
    <n v="0.15284827496079456"/>
    <n v="20268.09"/>
    <x v="0"/>
  </r>
  <r>
    <n v="538"/>
    <n v="3527"/>
    <x v="0"/>
    <x v="1"/>
    <n v="36616"/>
    <n v="5"/>
    <n v="183080"/>
    <x v="137"/>
    <x v="2"/>
    <x v="1"/>
    <s v="Pending"/>
    <n v="2.1"/>
    <n v="0.10553834389337993"/>
    <n v="35602.04"/>
    <x v="0"/>
  </r>
  <r>
    <n v="539"/>
    <n v="3051"/>
    <x v="4"/>
    <x v="2"/>
    <n v="16292"/>
    <n v="4"/>
    <n v="65168"/>
    <x v="225"/>
    <x v="3"/>
    <x v="2"/>
    <s v="Delivered"/>
    <n v="3.2"/>
    <n v="0.1752637797692119"/>
    <n v="8128.81"/>
    <x v="1"/>
  </r>
  <r>
    <n v="540"/>
    <n v="3473"/>
    <x v="5"/>
    <x v="1"/>
    <n v="25393"/>
    <n v="2"/>
    <n v="50786"/>
    <x v="283"/>
    <x v="2"/>
    <x v="1"/>
    <s v="Pending"/>
    <n v="3.8"/>
    <n v="0.28387331154255113"/>
    <n v="819.01"/>
    <x v="0"/>
  </r>
  <r>
    <n v="541"/>
    <n v="3956"/>
    <x v="2"/>
    <x v="1"/>
    <n v="31496"/>
    <n v="4"/>
    <n v="125984"/>
    <x v="284"/>
    <x v="2"/>
    <x v="2"/>
    <s v="Pending"/>
    <n v="1"/>
    <n v="0.23620221615443232"/>
    <n v="8037.5"/>
    <x v="0"/>
  </r>
  <r>
    <n v="542"/>
    <n v="5011"/>
    <x v="2"/>
    <x v="0"/>
    <n v="6722"/>
    <n v="1"/>
    <n v="6722"/>
    <x v="103"/>
    <x v="0"/>
    <x v="2"/>
    <s v="Cancelled"/>
    <n v="4.8"/>
    <n v="0.19740107110978877"/>
    <n v="689.67"/>
    <x v="1"/>
  </r>
  <r>
    <n v="543"/>
    <n v="2957"/>
    <x v="3"/>
    <x v="1"/>
    <n v="35484"/>
    <n v="5"/>
    <n v="177420"/>
    <x v="285"/>
    <x v="3"/>
    <x v="2"/>
    <s v="Cancelled"/>
    <n v="4.9000000000000004"/>
    <n v="8.938879494983655E-2"/>
    <n v="37366.639999999999"/>
    <x v="0"/>
  </r>
  <r>
    <n v="544"/>
    <n v="3809"/>
    <x v="4"/>
    <x v="0"/>
    <n v="35808"/>
    <n v="4"/>
    <n v="143232"/>
    <x v="286"/>
    <x v="1"/>
    <x v="4"/>
    <s v="Cancelled"/>
    <n v="4.5999999999999996"/>
    <n v="0.12714204926273459"/>
    <n v="24758.79"/>
    <x v="0"/>
  </r>
  <r>
    <n v="545"/>
    <n v="4449"/>
    <x v="1"/>
    <x v="1"/>
    <n v="14572"/>
    <n v="5"/>
    <n v="72860"/>
    <x v="38"/>
    <x v="1"/>
    <x v="0"/>
    <s v="Cancelled"/>
    <n v="3.1"/>
    <n v="0.18373222618720833"/>
    <n v="8471.27"/>
    <x v="1"/>
  </r>
  <r>
    <n v="546"/>
    <n v="1500"/>
    <x v="3"/>
    <x v="0"/>
    <n v="35113"/>
    <n v="5"/>
    <n v="175565"/>
    <x v="29"/>
    <x v="3"/>
    <x v="3"/>
    <s v="Cancelled"/>
    <n v="4.5"/>
    <n v="0.26929359496482785"/>
    <n v="5390.97"/>
    <x v="1"/>
  </r>
  <r>
    <n v="547"/>
    <n v="9486"/>
    <x v="0"/>
    <x v="2"/>
    <n v="5893"/>
    <n v="3"/>
    <n v="17679"/>
    <x v="46"/>
    <x v="1"/>
    <x v="4"/>
    <s v="Cancelled"/>
    <n v="1.1000000000000001"/>
    <n v="0.22654561909610271"/>
    <n v="1298.5999999999999"/>
    <x v="1"/>
  </r>
  <r>
    <n v="548"/>
    <n v="2698"/>
    <x v="2"/>
    <x v="1"/>
    <n v="40717"/>
    <n v="2"/>
    <n v="81434"/>
    <x v="198"/>
    <x v="2"/>
    <x v="2"/>
    <s v="Pending"/>
    <n v="3.7"/>
    <n v="0.16555161234865046"/>
    <n v="10948.67"/>
    <x v="0"/>
  </r>
  <r>
    <n v="549"/>
    <n v="5188"/>
    <x v="1"/>
    <x v="0"/>
    <n v="17672"/>
    <n v="4"/>
    <n v="70688"/>
    <x v="22"/>
    <x v="0"/>
    <x v="2"/>
    <s v="Pending"/>
    <n v="4.4000000000000004"/>
    <n v="0.15302413422363059"/>
    <n v="10389.43"/>
    <x v="1"/>
  </r>
  <r>
    <n v="550"/>
    <n v="6278"/>
    <x v="0"/>
    <x v="1"/>
    <n v="29365"/>
    <n v="4"/>
    <n v="117460"/>
    <x v="55"/>
    <x v="3"/>
    <x v="4"/>
    <s v="Cancelled"/>
    <n v="2.6"/>
    <n v="6.3735058743402004E-2"/>
    <n v="27751.68"/>
    <x v="1"/>
  </r>
  <r>
    <n v="551"/>
    <n v="3760"/>
    <x v="3"/>
    <x v="1"/>
    <n v="43822"/>
    <n v="1"/>
    <n v="43822"/>
    <x v="287"/>
    <x v="1"/>
    <x v="3"/>
    <s v="Delivered"/>
    <n v="1.1000000000000001"/>
    <n v="9.1115193281913198E-2"/>
    <n v="9153.75"/>
    <x v="0"/>
  </r>
  <r>
    <n v="552"/>
    <n v="6145"/>
    <x v="5"/>
    <x v="1"/>
    <n v="11128"/>
    <n v="4"/>
    <n v="44512"/>
    <x v="244"/>
    <x v="0"/>
    <x v="3"/>
    <s v="Pending"/>
    <n v="3.4"/>
    <n v="5.4512266355140185E-2"/>
    <n v="10927.15"/>
    <x v="0"/>
  </r>
  <r>
    <n v="553"/>
    <n v="5174"/>
    <x v="1"/>
    <x v="1"/>
    <n v="43892"/>
    <n v="3"/>
    <n v="131676"/>
    <x v="226"/>
    <x v="0"/>
    <x v="4"/>
    <s v="Cancelled"/>
    <n v="1.8"/>
    <n v="7.7925514140769772E-2"/>
    <n v="29241.88"/>
    <x v="1"/>
  </r>
  <r>
    <n v="554"/>
    <n v="5076"/>
    <x v="1"/>
    <x v="1"/>
    <n v="48808"/>
    <n v="2"/>
    <n v="97616"/>
    <x v="57"/>
    <x v="0"/>
    <x v="4"/>
    <s v="Cancelled"/>
    <n v="2.2000000000000002"/>
    <n v="0.16777946238321587"/>
    <n v="12906.84"/>
    <x v="1"/>
  </r>
  <r>
    <n v="555"/>
    <n v="6653"/>
    <x v="5"/>
    <x v="0"/>
    <n v="13542"/>
    <n v="2"/>
    <n v="27084"/>
    <x v="262"/>
    <x v="2"/>
    <x v="2"/>
    <s v="Delivered"/>
    <n v="3.6"/>
    <n v="0.26415263624280017"/>
    <n v="970.89"/>
    <x v="1"/>
  </r>
  <r>
    <n v="556"/>
    <n v="8401"/>
    <x v="5"/>
    <x v="0"/>
    <n v="39842"/>
    <n v="4"/>
    <n v="159368"/>
    <x v="114"/>
    <x v="1"/>
    <x v="2"/>
    <s v="Pending"/>
    <n v="1.8"/>
    <n v="0.27610605642287034"/>
    <n v="3807.93"/>
    <x v="0"/>
  </r>
  <r>
    <n v="557"/>
    <n v="1359"/>
    <x v="2"/>
    <x v="1"/>
    <n v="49443"/>
    <n v="2"/>
    <n v="98886"/>
    <x v="246"/>
    <x v="2"/>
    <x v="0"/>
    <s v="Pending"/>
    <n v="2.9"/>
    <n v="0.15867726472908197"/>
    <n v="13974.84"/>
    <x v="0"/>
  </r>
  <r>
    <n v="558"/>
    <n v="7732"/>
    <x v="4"/>
    <x v="0"/>
    <n v="9439"/>
    <n v="5"/>
    <n v="47195"/>
    <x v="288"/>
    <x v="3"/>
    <x v="1"/>
    <s v="Delivered"/>
    <n v="4.3"/>
    <n v="0.1655914821485327"/>
    <n v="6343.41"/>
    <x v="0"/>
  </r>
  <r>
    <n v="559"/>
    <n v="7024"/>
    <x v="5"/>
    <x v="2"/>
    <n v="18025"/>
    <n v="4"/>
    <n v="72100"/>
    <x v="31"/>
    <x v="1"/>
    <x v="2"/>
    <s v="Delivered"/>
    <n v="3.2"/>
    <n v="0.25349861303744797"/>
    <n v="3352.75"/>
    <x v="0"/>
  </r>
  <r>
    <n v="560"/>
    <n v="9565"/>
    <x v="1"/>
    <x v="1"/>
    <n v="41460"/>
    <n v="5"/>
    <n v="207300"/>
    <x v="90"/>
    <x v="2"/>
    <x v="1"/>
    <s v="Pending"/>
    <n v="2.7"/>
    <n v="5.8167679691268695E-2"/>
    <n v="50131.839999999997"/>
    <x v="1"/>
  </r>
  <r>
    <n v="561"/>
    <n v="9491"/>
    <x v="1"/>
    <x v="1"/>
    <n v="8371"/>
    <n v="1"/>
    <n v="8371"/>
    <x v="193"/>
    <x v="2"/>
    <x v="2"/>
    <s v="Pending"/>
    <n v="3.7"/>
    <n v="0.18672679488711025"/>
    <n v="948.21"/>
    <x v="0"/>
  </r>
  <r>
    <n v="562"/>
    <n v="9895"/>
    <x v="4"/>
    <x v="0"/>
    <n v="20755"/>
    <n v="3"/>
    <n v="62265"/>
    <x v="86"/>
    <x v="0"/>
    <x v="2"/>
    <s v="Pending"/>
    <n v="2.6"/>
    <n v="0.27202987231992287"/>
    <n v="1741.56"/>
    <x v="1"/>
  </r>
  <r>
    <n v="563"/>
    <n v="6354"/>
    <x v="3"/>
    <x v="1"/>
    <n v="45798"/>
    <n v="1"/>
    <n v="45798"/>
    <x v="289"/>
    <x v="2"/>
    <x v="0"/>
    <s v="Cancelled"/>
    <n v="3.8"/>
    <n v="0.1821544608934888"/>
    <n v="5397.09"/>
    <x v="1"/>
  </r>
  <r>
    <n v="564"/>
    <n v="5795"/>
    <x v="1"/>
    <x v="0"/>
    <n v="3686"/>
    <n v="4"/>
    <n v="14744"/>
    <x v="82"/>
    <x v="1"/>
    <x v="3"/>
    <s v="Delivered"/>
    <n v="1"/>
    <n v="0.18981958762886597"/>
    <n v="1624.5"/>
    <x v="0"/>
  </r>
  <r>
    <n v="565"/>
    <n v="9172"/>
    <x v="4"/>
    <x v="1"/>
    <n v="6122"/>
    <n v="4"/>
    <n v="24488"/>
    <x v="43"/>
    <x v="1"/>
    <x v="3"/>
    <s v="Delivered"/>
    <n v="3.8"/>
    <n v="0.28325710552107153"/>
    <n v="410"/>
    <x v="0"/>
  </r>
  <r>
    <n v="566"/>
    <n v="8732"/>
    <x v="1"/>
    <x v="0"/>
    <n v="24447"/>
    <n v="1"/>
    <n v="24447"/>
    <x v="8"/>
    <x v="1"/>
    <x v="1"/>
    <s v="Delivered"/>
    <n v="4.5999999999999996"/>
    <n v="0.22209514459851926"/>
    <n v="1904.54"/>
    <x v="0"/>
  </r>
  <r>
    <n v="567"/>
    <n v="8739"/>
    <x v="1"/>
    <x v="2"/>
    <n v="48945"/>
    <n v="4"/>
    <n v="195780"/>
    <x v="33"/>
    <x v="0"/>
    <x v="3"/>
    <s v="Pending"/>
    <n v="3"/>
    <n v="7.8981765246705485E-2"/>
    <n v="43270.95"/>
    <x v="0"/>
  </r>
  <r>
    <n v="568"/>
    <n v="3137"/>
    <x v="4"/>
    <x v="1"/>
    <n v="32357"/>
    <n v="1"/>
    <n v="32357"/>
    <x v="212"/>
    <x v="2"/>
    <x v="2"/>
    <s v="Delivered"/>
    <n v="3.4"/>
    <n v="0.27035540995765983"/>
    <n v="959.21"/>
    <x v="1"/>
  </r>
  <r>
    <n v="569"/>
    <n v="2333"/>
    <x v="2"/>
    <x v="0"/>
    <n v="13524"/>
    <n v="2"/>
    <n v="27048"/>
    <x v="273"/>
    <x v="2"/>
    <x v="3"/>
    <s v="Cancelled"/>
    <n v="4.4000000000000004"/>
    <n v="0.25795511682934041"/>
    <n v="1137.23"/>
    <x v="0"/>
  </r>
  <r>
    <n v="570"/>
    <n v="1974"/>
    <x v="2"/>
    <x v="1"/>
    <n v="1261"/>
    <n v="3"/>
    <n v="3783"/>
    <x v="204"/>
    <x v="0"/>
    <x v="3"/>
    <s v="Delivered"/>
    <n v="2.8"/>
    <n v="0.20656621728786678"/>
    <n v="353.46"/>
    <x v="1"/>
  </r>
  <r>
    <n v="571"/>
    <n v="3349"/>
    <x v="3"/>
    <x v="1"/>
    <n v="2671"/>
    <n v="3"/>
    <n v="8013"/>
    <x v="228"/>
    <x v="3"/>
    <x v="4"/>
    <s v="Delivered"/>
    <n v="4.2"/>
    <n v="7.931111943092474E-2"/>
    <n v="1768.38"/>
    <x v="0"/>
  </r>
  <r>
    <n v="572"/>
    <n v="5122"/>
    <x v="4"/>
    <x v="1"/>
    <n v="43090"/>
    <n v="2"/>
    <n v="86180"/>
    <x v="28"/>
    <x v="2"/>
    <x v="3"/>
    <s v="Delivered"/>
    <n v="3.4"/>
    <n v="0.25135402645625432"/>
    <n v="4192.3100000000004"/>
    <x v="1"/>
  </r>
  <r>
    <n v="573"/>
    <n v="6377"/>
    <x v="1"/>
    <x v="2"/>
    <n v="15911"/>
    <n v="2"/>
    <n v="31822"/>
    <x v="239"/>
    <x v="3"/>
    <x v="3"/>
    <s v="Delivered"/>
    <n v="2.4"/>
    <n v="0.23144176984476147"/>
    <n v="2181.66"/>
    <x v="1"/>
  </r>
  <r>
    <n v="574"/>
    <n v="3794"/>
    <x v="0"/>
    <x v="2"/>
    <n v="11060"/>
    <n v="1"/>
    <n v="11060"/>
    <x v="113"/>
    <x v="1"/>
    <x v="1"/>
    <s v="Cancelled"/>
    <n v="1.9"/>
    <n v="0.18594394213381554"/>
    <n v="1261.46"/>
    <x v="1"/>
  </r>
  <r>
    <n v="575"/>
    <n v="9169"/>
    <x v="4"/>
    <x v="1"/>
    <n v="5950"/>
    <n v="1"/>
    <n v="5950"/>
    <x v="290"/>
    <x v="2"/>
    <x v="0"/>
    <s v="Delivered"/>
    <n v="3.5"/>
    <n v="7.8194957983193272E-2"/>
    <n v="1319.74"/>
    <x v="0"/>
  </r>
  <r>
    <n v="576"/>
    <n v="8821"/>
    <x v="2"/>
    <x v="0"/>
    <n v="31546"/>
    <n v="2"/>
    <n v="63092"/>
    <x v="173"/>
    <x v="1"/>
    <x v="1"/>
    <s v="Delivered"/>
    <n v="2.5"/>
    <n v="0.16289545425727509"/>
    <n v="8650.2000000000007"/>
    <x v="0"/>
  </r>
  <r>
    <n v="577"/>
    <n v="4074"/>
    <x v="3"/>
    <x v="1"/>
    <n v="44578"/>
    <n v="4"/>
    <n v="178312"/>
    <x v="26"/>
    <x v="0"/>
    <x v="3"/>
    <s v="Cancelled"/>
    <n v="3.5"/>
    <n v="6.7224752119879758E-2"/>
    <n v="41506.620000000003"/>
    <x v="0"/>
  </r>
  <r>
    <n v="578"/>
    <n v="8772"/>
    <x v="0"/>
    <x v="1"/>
    <n v="28922"/>
    <n v="3"/>
    <n v="86766"/>
    <x v="291"/>
    <x v="2"/>
    <x v="2"/>
    <s v="Pending"/>
    <n v="4"/>
    <n v="0.16715533734412097"/>
    <n v="11526.4"/>
    <x v="1"/>
  </r>
  <r>
    <n v="579"/>
    <n v="2587"/>
    <x v="3"/>
    <x v="2"/>
    <n v="40265"/>
    <n v="4"/>
    <n v="161060"/>
    <x v="273"/>
    <x v="0"/>
    <x v="1"/>
    <s v="Cancelled"/>
    <n v="1.8"/>
    <n v="9.3869613808518562E-2"/>
    <n v="33199.360000000001"/>
    <x v="1"/>
  </r>
  <r>
    <n v="580"/>
    <n v="1043"/>
    <x v="5"/>
    <x v="1"/>
    <n v="28463"/>
    <n v="1"/>
    <n v="28463"/>
    <x v="269"/>
    <x v="1"/>
    <x v="3"/>
    <s v="Delivered"/>
    <n v="2.6"/>
    <n v="5.2582651161156589E-2"/>
    <n v="7042.24"/>
    <x v="1"/>
  </r>
  <r>
    <n v="581"/>
    <n v="9894"/>
    <x v="0"/>
    <x v="0"/>
    <n v="12814"/>
    <n v="3"/>
    <n v="38442"/>
    <x v="292"/>
    <x v="1"/>
    <x v="3"/>
    <s v="Delivered"/>
    <n v="3.8"/>
    <n v="0.26291217938712869"/>
    <n v="1425.73"/>
    <x v="1"/>
  </r>
  <r>
    <n v="582"/>
    <n v="6950"/>
    <x v="3"/>
    <x v="1"/>
    <n v="43538"/>
    <n v="4"/>
    <n v="174152"/>
    <x v="16"/>
    <x v="2"/>
    <x v="3"/>
    <s v="Delivered"/>
    <n v="4.4000000000000004"/>
    <n v="0.1029272704304286"/>
    <n v="34320.61"/>
    <x v="0"/>
  </r>
  <r>
    <n v="583"/>
    <n v="7945"/>
    <x v="2"/>
    <x v="2"/>
    <n v="27746"/>
    <n v="1"/>
    <n v="27746"/>
    <x v="293"/>
    <x v="1"/>
    <x v="3"/>
    <s v="Pending"/>
    <n v="1.6"/>
    <n v="7.2574425142362869E-2"/>
    <n v="6310.15"/>
    <x v="1"/>
  </r>
  <r>
    <n v="584"/>
    <n v="4347"/>
    <x v="1"/>
    <x v="0"/>
    <n v="4525"/>
    <n v="4"/>
    <n v="18100"/>
    <x v="294"/>
    <x v="1"/>
    <x v="0"/>
    <s v="Cancelled"/>
    <n v="2.6"/>
    <n v="0.2417370165745856"/>
    <n v="1054.56"/>
    <x v="1"/>
  </r>
  <r>
    <n v="585"/>
    <n v="8394"/>
    <x v="4"/>
    <x v="2"/>
    <n v="31545"/>
    <n v="5"/>
    <n v="157725"/>
    <x v="285"/>
    <x v="1"/>
    <x v="3"/>
    <s v="Delivered"/>
    <n v="3.1"/>
    <n v="0.23098107465525439"/>
    <n v="10886.01"/>
    <x v="1"/>
  </r>
  <r>
    <n v="586"/>
    <n v="4623"/>
    <x v="0"/>
    <x v="1"/>
    <n v="40047"/>
    <n v="3"/>
    <n v="120141"/>
    <x v="295"/>
    <x v="0"/>
    <x v="0"/>
    <s v="Pending"/>
    <n v="2.7"/>
    <n v="0.20577396559043123"/>
    <n v="11320.41"/>
    <x v="0"/>
  </r>
  <r>
    <n v="587"/>
    <n v="9409"/>
    <x v="5"/>
    <x v="0"/>
    <n v="26523"/>
    <n v="2"/>
    <n v="53046"/>
    <x v="296"/>
    <x v="1"/>
    <x v="2"/>
    <s v="Cancelled"/>
    <n v="1.6"/>
    <n v="0.10057591524337367"/>
    <n v="10578.65"/>
    <x v="0"/>
  </r>
  <r>
    <n v="588"/>
    <n v="1330"/>
    <x v="4"/>
    <x v="0"/>
    <n v="27062"/>
    <n v="3"/>
    <n v="81186"/>
    <x v="70"/>
    <x v="0"/>
    <x v="4"/>
    <s v="Cancelled"/>
    <n v="1.2"/>
    <n v="0.17883723794742937"/>
    <n v="9836.7199999999993"/>
    <x v="0"/>
  </r>
  <r>
    <n v="589"/>
    <n v="4543"/>
    <x v="0"/>
    <x v="0"/>
    <n v="18145"/>
    <n v="3"/>
    <n v="54435"/>
    <x v="297"/>
    <x v="1"/>
    <x v="2"/>
    <s v="Cancelled"/>
    <n v="1.7"/>
    <n v="0.16655148342059337"/>
    <n v="7264.27"/>
    <x v="1"/>
  </r>
  <r>
    <n v="590"/>
    <n v="5632"/>
    <x v="5"/>
    <x v="1"/>
    <n v="18977"/>
    <n v="3"/>
    <n v="56931"/>
    <x v="6"/>
    <x v="1"/>
    <x v="1"/>
    <s v="Cancelled"/>
    <n v="4.5999999999999996"/>
    <n v="5.3161546433401839E-2"/>
    <n v="14052.76"/>
    <x v="0"/>
  </r>
  <r>
    <n v="591"/>
    <n v="9294"/>
    <x v="3"/>
    <x v="2"/>
    <n v="15066"/>
    <n v="5"/>
    <n v="75330"/>
    <x v="132"/>
    <x v="0"/>
    <x v="0"/>
    <s v="Pending"/>
    <n v="2"/>
    <n v="0.29666533917429971"/>
    <n v="251.2"/>
    <x v="0"/>
  </r>
  <r>
    <n v="592"/>
    <n v="9641"/>
    <x v="3"/>
    <x v="2"/>
    <n v="40145"/>
    <n v="1"/>
    <n v="40145"/>
    <x v="286"/>
    <x v="3"/>
    <x v="2"/>
    <s v="Pending"/>
    <n v="2.7"/>
    <n v="0.13240727363308008"/>
    <n v="6728.01"/>
    <x v="1"/>
  </r>
  <r>
    <n v="593"/>
    <n v="8532"/>
    <x v="2"/>
    <x v="2"/>
    <n v="26762"/>
    <n v="3"/>
    <n v="80286"/>
    <x v="103"/>
    <x v="2"/>
    <x v="3"/>
    <s v="Pending"/>
    <n v="4.5999999999999996"/>
    <n v="8.5800264055999803E-2"/>
    <n v="17197.240000000002"/>
    <x v="0"/>
  </r>
  <r>
    <n v="594"/>
    <n v="7049"/>
    <x v="4"/>
    <x v="0"/>
    <n v="41862"/>
    <n v="4"/>
    <n v="167448"/>
    <x v="212"/>
    <x v="3"/>
    <x v="1"/>
    <s v="Cancelled"/>
    <n v="2.2000000000000002"/>
    <n v="0.18759155080980366"/>
    <n v="18822.57"/>
    <x v="0"/>
  </r>
  <r>
    <n v="595"/>
    <n v="3319"/>
    <x v="0"/>
    <x v="0"/>
    <n v="45094"/>
    <n v="2"/>
    <n v="90188"/>
    <x v="13"/>
    <x v="0"/>
    <x v="0"/>
    <s v="Pending"/>
    <n v="2.5"/>
    <n v="0.24449139575109768"/>
    <n v="5006.21"/>
    <x v="0"/>
  </r>
  <r>
    <n v="596"/>
    <n v="2249"/>
    <x v="3"/>
    <x v="2"/>
    <n v="31148"/>
    <n v="1"/>
    <n v="31148"/>
    <x v="277"/>
    <x v="2"/>
    <x v="3"/>
    <s v="Pending"/>
    <n v="1.4"/>
    <n v="0.23747527931167331"/>
    <n v="1947.52"/>
    <x v="0"/>
  </r>
  <r>
    <n v="597"/>
    <n v="2866"/>
    <x v="4"/>
    <x v="0"/>
    <n v="32813"/>
    <n v="1"/>
    <n v="32813"/>
    <x v="41"/>
    <x v="1"/>
    <x v="1"/>
    <s v="Cancelled"/>
    <n v="3.3"/>
    <n v="0.22076250266662603"/>
    <n v="2600.02"/>
    <x v="1"/>
  </r>
  <r>
    <n v="598"/>
    <n v="6935"/>
    <x v="3"/>
    <x v="1"/>
    <n v="16307"/>
    <n v="1"/>
    <n v="16307"/>
    <x v="85"/>
    <x v="0"/>
    <x v="2"/>
    <s v="Cancelled"/>
    <n v="3.5"/>
    <n v="0.23878702397743301"/>
    <n v="998.2"/>
    <x v="1"/>
  </r>
  <r>
    <n v="599"/>
    <n v="5802"/>
    <x v="2"/>
    <x v="2"/>
    <n v="46051"/>
    <n v="4"/>
    <n v="184204"/>
    <x v="26"/>
    <x v="2"/>
    <x v="1"/>
    <s v="Pending"/>
    <n v="2.1"/>
    <n v="0.14555823977763785"/>
    <n v="28448.79"/>
    <x v="1"/>
  </r>
  <r>
    <n v="600"/>
    <n v="5374"/>
    <x v="5"/>
    <x v="1"/>
    <n v="5947"/>
    <n v="2"/>
    <n v="11894"/>
    <x v="222"/>
    <x v="1"/>
    <x v="4"/>
    <s v="Pending"/>
    <n v="2"/>
    <n v="0.27853035143769972"/>
    <n v="255.36"/>
    <x v="0"/>
  </r>
  <r>
    <n v="601"/>
    <n v="8350"/>
    <x v="3"/>
    <x v="0"/>
    <n v="2936"/>
    <n v="5"/>
    <n v="14680"/>
    <x v="298"/>
    <x v="0"/>
    <x v="4"/>
    <s v="Delivered"/>
    <n v="1.1000000000000001"/>
    <n v="0.25477043596730248"/>
    <n v="663.97"/>
    <x v="0"/>
  </r>
  <r>
    <n v="602"/>
    <n v="5449"/>
    <x v="0"/>
    <x v="1"/>
    <n v="26160"/>
    <n v="1"/>
    <n v="26160"/>
    <x v="171"/>
    <x v="2"/>
    <x v="1"/>
    <s v="Delivered"/>
    <n v="2.5"/>
    <n v="0.26643195718654433"/>
    <n v="878.14"/>
    <x v="1"/>
  </r>
  <r>
    <n v="603"/>
    <n v="3594"/>
    <x v="0"/>
    <x v="1"/>
    <n v="48286"/>
    <n v="2"/>
    <n v="96572"/>
    <x v="101"/>
    <x v="1"/>
    <x v="0"/>
    <s v="Pending"/>
    <n v="3.1"/>
    <n v="0.24174843639978463"/>
    <n v="5625.47"/>
    <x v="0"/>
  </r>
  <r>
    <n v="604"/>
    <n v="8025"/>
    <x v="5"/>
    <x v="0"/>
    <n v="46668"/>
    <n v="5"/>
    <n v="233340"/>
    <x v="299"/>
    <x v="3"/>
    <x v="3"/>
    <s v="Cancelled"/>
    <n v="3.3"/>
    <n v="0.2478748607182652"/>
    <n v="12162.88"/>
    <x v="1"/>
  </r>
  <r>
    <n v="605"/>
    <n v="7599"/>
    <x v="1"/>
    <x v="0"/>
    <n v="40529"/>
    <n v="3"/>
    <n v="121587"/>
    <x v="44"/>
    <x v="0"/>
    <x v="0"/>
    <s v="Delivered"/>
    <n v="4.3"/>
    <n v="8.7506147861202269E-2"/>
    <n v="25836.49"/>
    <x v="1"/>
  </r>
  <r>
    <n v="606"/>
    <n v="2848"/>
    <x v="2"/>
    <x v="0"/>
    <n v="27032"/>
    <n v="2"/>
    <n v="54064"/>
    <x v="272"/>
    <x v="3"/>
    <x v="4"/>
    <s v="Pending"/>
    <n v="3.2"/>
    <n v="0.22755068067475584"/>
    <n v="3916.9"/>
    <x v="0"/>
  </r>
  <r>
    <n v="607"/>
    <n v="9711"/>
    <x v="4"/>
    <x v="1"/>
    <n v="22554"/>
    <n v="5"/>
    <n v="112770"/>
    <x v="129"/>
    <x v="0"/>
    <x v="0"/>
    <s v="Cancelled"/>
    <n v="5"/>
    <n v="0.27616431675090891"/>
    <n v="2687.95"/>
    <x v="0"/>
  </r>
  <r>
    <n v="608"/>
    <n v="5473"/>
    <x v="5"/>
    <x v="1"/>
    <n v="46091"/>
    <n v="5"/>
    <n v="230455"/>
    <x v="69"/>
    <x v="1"/>
    <x v="0"/>
    <s v="Pending"/>
    <n v="3.2"/>
    <n v="0.22160577987025668"/>
    <n v="18066.34"/>
    <x v="1"/>
  </r>
  <r>
    <n v="609"/>
    <n v="5644"/>
    <x v="4"/>
    <x v="0"/>
    <n v="41325"/>
    <n v="2"/>
    <n v="82650"/>
    <x v="300"/>
    <x v="2"/>
    <x v="4"/>
    <s v="Cancelled"/>
    <n v="3.9"/>
    <n v="0.29565916515426499"/>
    <n v="358.77"/>
    <x v="0"/>
  </r>
  <r>
    <n v="610"/>
    <n v="2272"/>
    <x v="3"/>
    <x v="1"/>
    <n v="38144"/>
    <n v="3"/>
    <n v="114432"/>
    <x v="43"/>
    <x v="1"/>
    <x v="4"/>
    <s v="Pending"/>
    <n v="2.9"/>
    <n v="0.11553603887024609"/>
    <n v="21108.58"/>
    <x v="1"/>
  </r>
  <r>
    <n v="611"/>
    <n v="9366"/>
    <x v="5"/>
    <x v="1"/>
    <n v="35700"/>
    <n v="1"/>
    <n v="35700"/>
    <x v="289"/>
    <x v="0"/>
    <x v="0"/>
    <s v="Delivered"/>
    <n v="2.2999999999999998"/>
    <n v="0.17394817927170869"/>
    <n v="4500.05"/>
    <x v="1"/>
  </r>
  <r>
    <n v="612"/>
    <n v="7559"/>
    <x v="3"/>
    <x v="2"/>
    <n v="30943"/>
    <n v="5"/>
    <n v="154715"/>
    <x v="301"/>
    <x v="3"/>
    <x v="2"/>
    <s v="Delivered"/>
    <n v="1.1000000000000001"/>
    <n v="0.19460614678602592"/>
    <n v="16306.01"/>
    <x v="0"/>
  </r>
  <r>
    <n v="613"/>
    <n v="6669"/>
    <x v="4"/>
    <x v="2"/>
    <n v="5461"/>
    <n v="1"/>
    <n v="5461"/>
    <x v="302"/>
    <x v="3"/>
    <x v="1"/>
    <s v="Delivered"/>
    <n v="2.2999999999999998"/>
    <n v="7.9249221754257457E-2"/>
    <n v="1205.52"/>
    <x v="1"/>
  </r>
  <r>
    <n v="614"/>
    <n v="9661"/>
    <x v="0"/>
    <x v="1"/>
    <n v="37130"/>
    <n v="2"/>
    <n v="74260"/>
    <x v="256"/>
    <x v="2"/>
    <x v="3"/>
    <s v="Pending"/>
    <n v="2"/>
    <n v="6.2879746835443034E-2"/>
    <n v="17608.55"/>
    <x v="0"/>
  </r>
  <r>
    <n v="615"/>
    <n v="2224"/>
    <x v="5"/>
    <x v="0"/>
    <n v="29752"/>
    <n v="2"/>
    <n v="59504"/>
    <x v="50"/>
    <x v="2"/>
    <x v="4"/>
    <s v="Pending"/>
    <n v="2.9"/>
    <n v="0.21805609706910459"/>
    <n v="4875.99"/>
    <x v="0"/>
  </r>
  <r>
    <n v="616"/>
    <n v="9389"/>
    <x v="5"/>
    <x v="1"/>
    <n v="41823"/>
    <n v="5"/>
    <n v="209115"/>
    <x v="87"/>
    <x v="2"/>
    <x v="4"/>
    <s v="Pending"/>
    <n v="1.9"/>
    <n v="0.27617794036774024"/>
    <n v="4981.55"/>
    <x v="0"/>
  </r>
  <r>
    <n v="617"/>
    <n v="2978"/>
    <x v="0"/>
    <x v="1"/>
    <n v="28323"/>
    <n v="1"/>
    <n v="28323"/>
    <x v="163"/>
    <x v="0"/>
    <x v="0"/>
    <s v="Pending"/>
    <n v="3.2"/>
    <n v="0.2201938353987925"/>
    <n v="2260.35"/>
    <x v="0"/>
  </r>
  <r>
    <n v="618"/>
    <n v="3870"/>
    <x v="2"/>
    <x v="0"/>
    <n v="38199"/>
    <n v="1"/>
    <n v="38199"/>
    <x v="73"/>
    <x v="3"/>
    <x v="0"/>
    <s v="Pending"/>
    <n v="4.7"/>
    <n v="0.23462420482211577"/>
    <n v="2497.29"/>
    <x v="0"/>
  </r>
  <r>
    <n v="619"/>
    <n v="4444"/>
    <x v="3"/>
    <x v="2"/>
    <n v="16291"/>
    <n v="5"/>
    <n v="81455"/>
    <x v="222"/>
    <x v="1"/>
    <x v="1"/>
    <s v="Cancelled"/>
    <n v="3.5"/>
    <n v="0.14257049904855443"/>
    <n v="12823.42"/>
    <x v="1"/>
  </r>
  <r>
    <n v="620"/>
    <n v="1075"/>
    <x v="1"/>
    <x v="0"/>
    <n v="9168"/>
    <n v="4"/>
    <n v="36672"/>
    <x v="303"/>
    <x v="1"/>
    <x v="4"/>
    <s v="Pending"/>
    <n v="2.5"/>
    <n v="8.9180846422338575E-2"/>
    <n v="7731.16"/>
    <x v="0"/>
  </r>
  <r>
    <n v="621"/>
    <n v="5000"/>
    <x v="4"/>
    <x v="0"/>
    <n v="28683"/>
    <n v="3"/>
    <n v="86049"/>
    <x v="230"/>
    <x v="1"/>
    <x v="1"/>
    <s v="Delivered"/>
    <n v="4.4000000000000004"/>
    <n v="0.28570977001475906"/>
    <n v="1229.6600000000001"/>
    <x v="1"/>
  </r>
  <r>
    <n v="622"/>
    <n v="7490"/>
    <x v="4"/>
    <x v="1"/>
    <n v="47553"/>
    <n v="3"/>
    <n v="142659"/>
    <x v="65"/>
    <x v="2"/>
    <x v="1"/>
    <s v="Delivered"/>
    <n v="3.9"/>
    <n v="0.17460384553375533"/>
    <n v="17888.89"/>
    <x v="0"/>
  </r>
  <r>
    <n v="623"/>
    <n v="5332"/>
    <x v="4"/>
    <x v="2"/>
    <n v="19678"/>
    <n v="1"/>
    <n v="19678"/>
    <x v="97"/>
    <x v="2"/>
    <x v="3"/>
    <s v="Delivered"/>
    <n v="2.2999999999999998"/>
    <n v="0.237982518548633"/>
    <n v="1220.3800000000001"/>
    <x v="0"/>
  </r>
  <r>
    <n v="624"/>
    <n v="5138"/>
    <x v="5"/>
    <x v="1"/>
    <n v="14812"/>
    <n v="3"/>
    <n v="44436"/>
    <x v="175"/>
    <x v="0"/>
    <x v="2"/>
    <s v="Pending"/>
    <n v="4.2"/>
    <n v="6.0196687370600417E-2"/>
    <n v="10655.9"/>
    <x v="0"/>
  </r>
  <r>
    <n v="625"/>
    <n v="2615"/>
    <x v="3"/>
    <x v="0"/>
    <n v="39092"/>
    <n v="5"/>
    <n v="195460"/>
    <x v="290"/>
    <x v="3"/>
    <x v="2"/>
    <s v="Pending"/>
    <n v="3.2"/>
    <n v="0.19562892663460554"/>
    <n v="20400.37"/>
    <x v="0"/>
  </r>
  <r>
    <n v="626"/>
    <n v="8773"/>
    <x v="3"/>
    <x v="2"/>
    <n v="11608"/>
    <n v="2"/>
    <n v="23216"/>
    <x v="255"/>
    <x v="3"/>
    <x v="0"/>
    <s v="Delivered"/>
    <n v="4.5"/>
    <n v="0.29946545485871812"/>
    <n v="12.41"/>
    <x v="0"/>
  </r>
  <r>
    <n v="627"/>
    <n v="8783"/>
    <x v="0"/>
    <x v="2"/>
    <n v="47832"/>
    <n v="5"/>
    <n v="239160"/>
    <x v="52"/>
    <x v="2"/>
    <x v="1"/>
    <s v="Pending"/>
    <n v="2.7"/>
    <n v="0.22035645592908512"/>
    <n v="19047.55"/>
    <x v="1"/>
  </r>
  <r>
    <n v="628"/>
    <n v="4828"/>
    <x v="5"/>
    <x v="1"/>
    <n v="37854"/>
    <n v="1"/>
    <n v="37854"/>
    <x v="176"/>
    <x v="0"/>
    <x v="0"/>
    <s v="Cancelled"/>
    <n v="1.4"/>
    <n v="0.17431288635282929"/>
    <n v="4757.76"/>
    <x v="0"/>
  </r>
  <r>
    <n v="629"/>
    <n v="6057"/>
    <x v="1"/>
    <x v="0"/>
    <n v="38304"/>
    <n v="1"/>
    <n v="38304"/>
    <x v="201"/>
    <x v="1"/>
    <x v="0"/>
    <s v="Cancelled"/>
    <n v="4.7"/>
    <n v="0.14490967000835422"/>
    <n v="5940.58"/>
    <x v="0"/>
  </r>
  <r>
    <n v="630"/>
    <n v="9781"/>
    <x v="0"/>
    <x v="0"/>
    <n v="12149"/>
    <n v="2"/>
    <n v="24298"/>
    <x v="15"/>
    <x v="3"/>
    <x v="1"/>
    <s v="Delivered"/>
    <n v="3.7"/>
    <n v="0.27356490246110793"/>
    <n v="642.32000000000005"/>
    <x v="0"/>
  </r>
  <r>
    <n v="631"/>
    <n v="6555"/>
    <x v="2"/>
    <x v="2"/>
    <n v="28450"/>
    <n v="3"/>
    <n v="85350"/>
    <x v="304"/>
    <x v="3"/>
    <x v="3"/>
    <s v="Cancelled"/>
    <n v="3.7"/>
    <n v="0.2143768014059754"/>
    <n v="7307.94"/>
    <x v="0"/>
  </r>
  <r>
    <n v="632"/>
    <n v="8322"/>
    <x v="2"/>
    <x v="0"/>
    <n v="30946"/>
    <n v="2"/>
    <n v="61892"/>
    <x v="4"/>
    <x v="1"/>
    <x v="1"/>
    <s v="Cancelled"/>
    <n v="1.5"/>
    <n v="0.13549230918373942"/>
    <n v="10181.709999999999"/>
    <x v="0"/>
  </r>
  <r>
    <n v="633"/>
    <n v="6238"/>
    <x v="0"/>
    <x v="1"/>
    <n v="4397"/>
    <n v="5"/>
    <n v="21985"/>
    <x v="255"/>
    <x v="0"/>
    <x v="0"/>
    <s v="Delivered"/>
    <n v="3.8"/>
    <n v="0.15068182851944506"/>
    <n v="3282.76"/>
    <x v="1"/>
  </r>
  <r>
    <n v="634"/>
    <n v="7579"/>
    <x v="0"/>
    <x v="2"/>
    <n v="24182"/>
    <n v="5"/>
    <n v="120910"/>
    <x v="305"/>
    <x v="1"/>
    <x v="0"/>
    <s v="Cancelled"/>
    <n v="4.0999999999999996"/>
    <n v="6.0455462740881649E-2"/>
    <n v="28963.33"/>
    <x v="0"/>
  </r>
  <r>
    <n v="635"/>
    <n v="4037"/>
    <x v="3"/>
    <x v="0"/>
    <n v="34231"/>
    <n v="5"/>
    <n v="171155"/>
    <x v="124"/>
    <x v="2"/>
    <x v="0"/>
    <s v="Delivered"/>
    <n v="1.9"/>
    <n v="0.15072565802927171"/>
    <n v="25549.05"/>
    <x v="1"/>
  </r>
  <r>
    <n v="636"/>
    <n v="5272"/>
    <x v="0"/>
    <x v="0"/>
    <n v="29727"/>
    <n v="3"/>
    <n v="89181"/>
    <x v="284"/>
    <x v="3"/>
    <x v="0"/>
    <s v="Cancelled"/>
    <n v="3.8"/>
    <n v="0.12837510232000091"/>
    <n v="15305.68"/>
    <x v="0"/>
  </r>
  <r>
    <n v="637"/>
    <n v="8851"/>
    <x v="2"/>
    <x v="0"/>
    <n v="23975"/>
    <n v="2"/>
    <n v="47950"/>
    <x v="202"/>
    <x v="2"/>
    <x v="3"/>
    <s v="Pending"/>
    <n v="3.8"/>
    <n v="0.24691678832116787"/>
    <n v="2545.34"/>
    <x v="1"/>
  </r>
  <r>
    <n v="638"/>
    <n v="5708"/>
    <x v="2"/>
    <x v="1"/>
    <n v="3850"/>
    <n v="1"/>
    <n v="3850"/>
    <x v="197"/>
    <x v="0"/>
    <x v="3"/>
    <s v="Cancelled"/>
    <n v="1.5"/>
    <n v="0.12631428571428571"/>
    <n v="668.69"/>
    <x v="1"/>
  </r>
  <r>
    <n v="639"/>
    <n v="3830"/>
    <x v="5"/>
    <x v="1"/>
    <n v="27090"/>
    <n v="1"/>
    <n v="27090"/>
    <x v="39"/>
    <x v="2"/>
    <x v="2"/>
    <s v="Cancelled"/>
    <n v="3.6"/>
    <n v="0.2864422296050203"/>
    <n v="367.28"/>
    <x v="0"/>
  </r>
  <r>
    <n v="640"/>
    <n v="8912"/>
    <x v="0"/>
    <x v="0"/>
    <n v="9585"/>
    <n v="5"/>
    <n v="47925"/>
    <x v="306"/>
    <x v="2"/>
    <x v="1"/>
    <s v="Pending"/>
    <n v="2"/>
    <n v="0.18324110589462703"/>
    <n v="5595.67"/>
    <x v="0"/>
  </r>
  <r>
    <n v="641"/>
    <n v="8133"/>
    <x v="3"/>
    <x v="0"/>
    <n v="33103"/>
    <n v="2"/>
    <n v="66206"/>
    <x v="178"/>
    <x v="2"/>
    <x v="2"/>
    <s v="Cancelled"/>
    <n v="3.9"/>
    <n v="0.29622738120412045"/>
    <n v="249.77"/>
    <x v="1"/>
  </r>
  <r>
    <n v="642"/>
    <n v="5080"/>
    <x v="4"/>
    <x v="2"/>
    <n v="39180"/>
    <n v="5"/>
    <n v="195900"/>
    <x v="263"/>
    <x v="3"/>
    <x v="1"/>
    <s v="Cancelled"/>
    <n v="1.8"/>
    <n v="8.9716028586013269E-2"/>
    <n v="41194.629999999997"/>
    <x v="1"/>
  </r>
  <r>
    <n v="643"/>
    <n v="8013"/>
    <x v="5"/>
    <x v="2"/>
    <n v="18556"/>
    <n v="4"/>
    <n v="74224"/>
    <x v="248"/>
    <x v="0"/>
    <x v="0"/>
    <s v="Pending"/>
    <n v="4"/>
    <n v="0.143581860314723"/>
    <n v="11609.98"/>
    <x v="0"/>
  </r>
  <r>
    <n v="644"/>
    <n v="1196"/>
    <x v="5"/>
    <x v="1"/>
    <n v="2887"/>
    <n v="4"/>
    <n v="11548"/>
    <x v="148"/>
    <x v="2"/>
    <x v="1"/>
    <s v="Delivered"/>
    <n v="1.1000000000000001"/>
    <n v="9.3313127814340133E-2"/>
    <n v="2386.8200000000002"/>
    <x v="0"/>
  </r>
  <r>
    <n v="645"/>
    <n v="4030"/>
    <x v="4"/>
    <x v="1"/>
    <n v="38572"/>
    <n v="5"/>
    <n v="192860"/>
    <x v="34"/>
    <x v="0"/>
    <x v="4"/>
    <s v="Cancelled"/>
    <n v="2.1"/>
    <n v="0.12432018044177123"/>
    <n v="33881.61"/>
    <x v="1"/>
  </r>
  <r>
    <n v="646"/>
    <n v="5622"/>
    <x v="2"/>
    <x v="2"/>
    <n v="30377"/>
    <n v="5"/>
    <n v="151885"/>
    <x v="140"/>
    <x v="0"/>
    <x v="1"/>
    <s v="Pending"/>
    <n v="2.2999999999999998"/>
    <n v="0.11724337492181584"/>
    <n v="27757.99"/>
    <x v="0"/>
  </r>
  <r>
    <n v="647"/>
    <n v="3502"/>
    <x v="1"/>
    <x v="2"/>
    <n v="37029"/>
    <n v="1"/>
    <n v="37029"/>
    <x v="307"/>
    <x v="2"/>
    <x v="4"/>
    <s v="Delivered"/>
    <n v="4.9000000000000004"/>
    <n v="8.5370925490831501E-2"/>
    <n v="7947.5"/>
    <x v="1"/>
  </r>
  <r>
    <n v="648"/>
    <n v="3344"/>
    <x v="5"/>
    <x v="1"/>
    <n v="44681"/>
    <n v="3"/>
    <n v="134043"/>
    <x v="284"/>
    <x v="1"/>
    <x v="2"/>
    <s v="Cancelled"/>
    <n v="3.9"/>
    <n v="0.24058361868952499"/>
    <n v="7964.35"/>
    <x v="0"/>
  </r>
  <r>
    <n v="649"/>
    <n v="1477"/>
    <x v="0"/>
    <x v="0"/>
    <n v="49349"/>
    <n v="1"/>
    <n v="49349"/>
    <x v="267"/>
    <x v="1"/>
    <x v="4"/>
    <s v="Cancelled"/>
    <n v="3.3"/>
    <n v="0.27500151978763498"/>
    <n v="1233.6500000000001"/>
    <x v="0"/>
  </r>
  <r>
    <n v="650"/>
    <n v="6574"/>
    <x v="0"/>
    <x v="2"/>
    <n v="47134"/>
    <n v="1"/>
    <n v="47134"/>
    <x v="308"/>
    <x v="3"/>
    <x v="3"/>
    <s v="Delivered"/>
    <n v="1.4"/>
    <n v="0.2796539652904485"/>
    <n v="958.99"/>
    <x v="1"/>
  </r>
  <r>
    <n v="651"/>
    <n v="3307"/>
    <x v="0"/>
    <x v="1"/>
    <n v="4952"/>
    <n v="4"/>
    <n v="19808"/>
    <x v="17"/>
    <x v="1"/>
    <x v="4"/>
    <s v="Pending"/>
    <n v="2.6"/>
    <n v="7.1185884491114695E-2"/>
    <n v="4532.3500000000004"/>
    <x v="0"/>
  </r>
  <r>
    <n v="652"/>
    <n v="7812"/>
    <x v="2"/>
    <x v="2"/>
    <n v="5012"/>
    <n v="3"/>
    <n v="15036"/>
    <x v="186"/>
    <x v="2"/>
    <x v="4"/>
    <s v="Delivered"/>
    <n v="4.0999999999999996"/>
    <n v="5.629090183559457E-2"/>
    <n v="3664.41"/>
    <x v="0"/>
  </r>
  <r>
    <n v="653"/>
    <n v="3652"/>
    <x v="1"/>
    <x v="0"/>
    <n v="10549"/>
    <n v="2"/>
    <n v="21098"/>
    <x v="259"/>
    <x v="2"/>
    <x v="1"/>
    <s v="Pending"/>
    <n v="2.5"/>
    <n v="0.18042800265428002"/>
    <n v="2522.73"/>
    <x v="1"/>
  </r>
  <r>
    <n v="654"/>
    <n v="8994"/>
    <x v="2"/>
    <x v="0"/>
    <n v="43203"/>
    <n v="2"/>
    <n v="86406"/>
    <x v="179"/>
    <x v="2"/>
    <x v="3"/>
    <s v="Pending"/>
    <n v="1"/>
    <n v="0.22476228502650281"/>
    <n v="6500.99"/>
    <x v="0"/>
  </r>
  <r>
    <n v="655"/>
    <n v="7070"/>
    <x v="1"/>
    <x v="2"/>
    <n v="49611"/>
    <n v="4"/>
    <n v="198444"/>
    <x v="137"/>
    <x v="1"/>
    <x v="2"/>
    <s v="Pending"/>
    <n v="1.6"/>
    <n v="0.27938874443167844"/>
    <n v="4090.18"/>
    <x v="1"/>
  </r>
  <r>
    <n v="656"/>
    <n v="7962"/>
    <x v="3"/>
    <x v="2"/>
    <n v="11505"/>
    <n v="1"/>
    <n v="11505"/>
    <x v="45"/>
    <x v="1"/>
    <x v="3"/>
    <s v="Cancelled"/>
    <n v="5"/>
    <n v="0.21761147327249022"/>
    <n v="947.88"/>
    <x v="0"/>
  </r>
  <r>
    <n v="657"/>
    <n v="3491"/>
    <x v="5"/>
    <x v="0"/>
    <n v="15327"/>
    <n v="4"/>
    <n v="61308"/>
    <x v="130"/>
    <x v="2"/>
    <x v="0"/>
    <s v="Delivered"/>
    <n v="4.7"/>
    <n v="6.7710249885822416E-2"/>
    <n v="14241.22"/>
    <x v="0"/>
  </r>
  <r>
    <n v="658"/>
    <n v="6993"/>
    <x v="3"/>
    <x v="1"/>
    <n v="42503"/>
    <n v="3"/>
    <n v="127509"/>
    <x v="52"/>
    <x v="0"/>
    <x v="2"/>
    <s v="Delivered"/>
    <n v="3.6"/>
    <n v="0.14615282058521359"/>
    <n v="19616.900000000001"/>
    <x v="1"/>
  </r>
  <r>
    <n v="659"/>
    <n v="1740"/>
    <x v="1"/>
    <x v="0"/>
    <n v="39163"/>
    <n v="5"/>
    <n v="195815"/>
    <x v="107"/>
    <x v="3"/>
    <x v="1"/>
    <s v="Cancelled"/>
    <n v="1.8"/>
    <n v="0.16563644256058013"/>
    <n v="26310.400000000001"/>
    <x v="1"/>
  </r>
  <r>
    <n v="660"/>
    <n v="6316"/>
    <x v="3"/>
    <x v="0"/>
    <n v="13718"/>
    <n v="5"/>
    <n v="68590"/>
    <x v="197"/>
    <x v="0"/>
    <x v="3"/>
    <s v="Cancelled"/>
    <n v="4.5"/>
    <n v="0.29041886572386649"/>
    <n v="657.17"/>
    <x v="1"/>
  </r>
  <r>
    <n v="661"/>
    <n v="1574"/>
    <x v="0"/>
    <x v="1"/>
    <n v="29488"/>
    <n v="4"/>
    <n v="117952"/>
    <x v="150"/>
    <x v="3"/>
    <x v="4"/>
    <s v="Cancelled"/>
    <n v="4.9000000000000004"/>
    <n v="0.25917483383071077"/>
    <n v="4815.41"/>
    <x v="1"/>
  </r>
  <r>
    <n v="662"/>
    <n v="8074"/>
    <x v="1"/>
    <x v="0"/>
    <n v="21434"/>
    <n v="3"/>
    <n v="64302"/>
    <x v="309"/>
    <x v="0"/>
    <x v="2"/>
    <s v="Cancelled"/>
    <n v="2.2000000000000002"/>
    <n v="0.2419112935834033"/>
    <n v="3735.22"/>
    <x v="1"/>
  </r>
  <r>
    <n v="663"/>
    <n v="8877"/>
    <x v="4"/>
    <x v="2"/>
    <n v="24077"/>
    <n v="5"/>
    <n v="120385"/>
    <x v="288"/>
    <x v="0"/>
    <x v="0"/>
    <s v="Pending"/>
    <n v="2.7"/>
    <n v="0.12857739751630187"/>
    <n v="20636.71"/>
    <x v="1"/>
  </r>
  <r>
    <n v="664"/>
    <n v="1389"/>
    <x v="1"/>
    <x v="0"/>
    <n v="44677"/>
    <n v="1"/>
    <n v="44677"/>
    <x v="110"/>
    <x v="2"/>
    <x v="0"/>
    <s v="Delivered"/>
    <n v="2.4"/>
    <n v="0.22072475770530697"/>
    <n v="3541.78"/>
    <x v="1"/>
  </r>
  <r>
    <n v="665"/>
    <n v="1831"/>
    <x v="5"/>
    <x v="0"/>
    <n v="47141"/>
    <n v="5"/>
    <n v="235705"/>
    <x v="133"/>
    <x v="1"/>
    <x v="1"/>
    <s v="Pending"/>
    <n v="1.7"/>
    <n v="0.1096290702361002"/>
    <n v="44871.38"/>
    <x v="1"/>
  </r>
  <r>
    <n v="666"/>
    <n v="5908"/>
    <x v="2"/>
    <x v="1"/>
    <n v="26428"/>
    <n v="4"/>
    <n v="105712"/>
    <x v="258"/>
    <x v="3"/>
    <x v="4"/>
    <s v="Pending"/>
    <n v="1.7"/>
    <n v="0.2495828288179204"/>
    <n v="5329.7"/>
    <x v="0"/>
  </r>
  <r>
    <n v="667"/>
    <n v="8689"/>
    <x v="2"/>
    <x v="1"/>
    <n v="603"/>
    <n v="1"/>
    <n v="603"/>
    <x v="24"/>
    <x v="2"/>
    <x v="0"/>
    <s v="Delivered"/>
    <n v="4.9000000000000004"/>
    <n v="0.21190713101160863"/>
    <n v="53.12"/>
    <x v="0"/>
  </r>
  <r>
    <n v="668"/>
    <n v="6747"/>
    <x v="3"/>
    <x v="1"/>
    <n v="37520"/>
    <n v="3"/>
    <n v="112560"/>
    <x v="239"/>
    <x v="3"/>
    <x v="3"/>
    <s v="Cancelled"/>
    <n v="2.1"/>
    <n v="0.25410412224591328"/>
    <n v="5166.04"/>
    <x v="0"/>
  </r>
  <r>
    <n v="669"/>
    <n v="9846"/>
    <x v="1"/>
    <x v="2"/>
    <n v="12500"/>
    <n v="3"/>
    <n v="37500"/>
    <x v="190"/>
    <x v="0"/>
    <x v="4"/>
    <s v="Pending"/>
    <n v="2.4"/>
    <n v="5.4823733333333333E-2"/>
    <n v="9194.11"/>
    <x v="1"/>
  </r>
  <r>
    <n v="670"/>
    <n v="6840"/>
    <x v="2"/>
    <x v="2"/>
    <n v="19148"/>
    <n v="1"/>
    <n v="19148"/>
    <x v="176"/>
    <x v="0"/>
    <x v="0"/>
    <s v="Cancelled"/>
    <n v="3.7"/>
    <n v="0.21865625652809692"/>
    <n v="1557.57"/>
    <x v="1"/>
  </r>
  <r>
    <n v="671"/>
    <n v="7979"/>
    <x v="3"/>
    <x v="2"/>
    <n v="38823"/>
    <n v="1"/>
    <n v="38823"/>
    <x v="299"/>
    <x v="0"/>
    <x v="1"/>
    <s v="Cancelled"/>
    <n v="3.3"/>
    <n v="0.14510547871107335"/>
    <n v="6013.47"/>
    <x v="0"/>
  </r>
  <r>
    <n v="672"/>
    <n v="9700"/>
    <x v="5"/>
    <x v="1"/>
    <n v="49421"/>
    <n v="2"/>
    <n v="98842"/>
    <x v="281"/>
    <x v="0"/>
    <x v="3"/>
    <s v="Cancelled"/>
    <n v="2.6"/>
    <n v="0.26772485380708605"/>
    <n v="3190.14"/>
    <x v="1"/>
  </r>
  <r>
    <n v="673"/>
    <n v="6607"/>
    <x v="2"/>
    <x v="2"/>
    <n v="18709"/>
    <n v="5"/>
    <n v="93545"/>
    <x v="5"/>
    <x v="3"/>
    <x v="1"/>
    <s v="Cancelled"/>
    <n v="4.5999999999999996"/>
    <n v="0.27506130739216422"/>
    <n v="2332.89"/>
    <x v="1"/>
  </r>
  <r>
    <n v="674"/>
    <n v="8057"/>
    <x v="2"/>
    <x v="0"/>
    <n v="23779"/>
    <n v="5"/>
    <n v="118895"/>
    <x v="310"/>
    <x v="0"/>
    <x v="2"/>
    <s v="Pending"/>
    <n v="1.6"/>
    <n v="7.8349972664956469E-2"/>
    <n v="26353.08"/>
    <x v="1"/>
  </r>
  <r>
    <n v="675"/>
    <n v="2054"/>
    <x v="4"/>
    <x v="2"/>
    <n v="28228"/>
    <n v="5"/>
    <n v="141140"/>
    <x v="165"/>
    <x v="3"/>
    <x v="1"/>
    <s v="Cancelled"/>
    <n v="4.9000000000000004"/>
    <n v="0.13201700439280148"/>
    <n v="23709.119999999999"/>
    <x v="1"/>
  </r>
  <r>
    <n v="676"/>
    <n v="1679"/>
    <x v="0"/>
    <x v="2"/>
    <n v="22720"/>
    <n v="4"/>
    <n v="90880"/>
    <x v="211"/>
    <x v="3"/>
    <x v="0"/>
    <s v="Delivered"/>
    <n v="4.7"/>
    <n v="0.29150066021126764"/>
    <n v="772.42"/>
    <x v="0"/>
  </r>
  <r>
    <n v="677"/>
    <n v="2091"/>
    <x v="1"/>
    <x v="2"/>
    <n v="47213"/>
    <n v="3"/>
    <n v="141639"/>
    <x v="46"/>
    <x v="3"/>
    <x v="2"/>
    <s v="Delivered"/>
    <n v="3.1"/>
    <n v="9.3706676833358052E-2"/>
    <n v="29219.18"/>
    <x v="1"/>
  </r>
  <r>
    <n v="678"/>
    <n v="3126"/>
    <x v="1"/>
    <x v="0"/>
    <n v="34147"/>
    <n v="1"/>
    <n v="34147"/>
    <x v="311"/>
    <x v="0"/>
    <x v="2"/>
    <s v="Cancelled"/>
    <n v="2.9"/>
    <n v="0.23077283509532315"/>
    <n v="2363.9"/>
    <x v="0"/>
  </r>
  <r>
    <n v="679"/>
    <n v="1743"/>
    <x v="3"/>
    <x v="2"/>
    <n v="5414"/>
    <n v="2"/>
    <n v="10828"/>
    <x v="236"/>
    <x v="3"/>
    <x v="1"/>
    <s v="Pending"/>
    <n v="3.8"/>
    <n v="0.27179719246398226"/>
    <n v="305.38"/>
    <x v="1"/>
  </r>
  <r>
    <n v="680"/>
    <n v="3112"/>
    <x v="4"/>
    <x v="0"/>
    <n v="25557"/>
    <n v="5"/>
    <n v="127785"/>
    <x v="215"/>
    <x v="0"/>
    <x v="0"/>
    <s v="Pending"/>
    <n v="4.5999999999999996"/>
    <n v="0.26037977853425676"/>
    <n v="5062.87"/>
    <x v="0"/>
  </r>
  <r>
    <n v="681"/>
    <n v="9441"/>
    <x v="3"/>
    <x v="2"/>
    <n v="33347"/>
    <n v="3"/>
    <n v="100041"/>
    <x v="312"/>
    <x v="2"/>
    <x v="0"/>
    <s v="Pending"/>
    <n v="2.2999999999999998"/>
    <n v="5.3544246858787899E-2"/>
    <n v="24655.68"/>
    <x v="1"/>
  </r>
  <r>
    <n v="682"/>
    <n v="8055"/>
    <x v="1"/>
    <x v="1"/>
    <n v="2482"/>
    <n v="4"/>
    <n v="9928"/>
    <x v="40"/>
    <x v="0"/>
    <x v="3"/>
    <s v="Cancelled"/>
    <n v="1"/>
    <n v="0.11729351329572925"/>
    <n v="1813.91"/>
    <x v="0"/>
  </r>
  <r>
    <n v="683"/>
    <n v="3771"/>
    <x v="4"/>
    <x v="0"/>
    <n v="34849"/>
    <n v="1"/>
    <n v="34849"/>
    <x v="313"/>
    <x v="0"/>
    <x v="3"/>
    <s v="Pending"/>
    <n v="4.3"/>
    <n v="0.14982180263422193"/>
    <n v="5233.5600000000004"/>
    <x v="0"/>
  </r>
  <r>
    <n v="684"/>
    <n v="3770"/>
    <x v="1"/>
    <x v="1"/>
    <n v="11448"/>
    <n v="1"/>
    <n v="11448"/>
    <x v="137"/>
    <x v="0"/>
    <x v="2"/>
    <s v="Pending"/>
    <n v="4.0999999999999996"/>
    <n v="6.498777078965759E-2"/>
    <n v="2690.42"/>
    <x v="1"/>
  </r>
  <r>
    <n v="685"/>
    <n v="3544"/>
    <x v="3"/>
    <x v="1"/>
    <n v="7112"/>
    <n v="3"/>
    <n v="21336"/>
    <x v="164"/>
    <x v="2"/>
    <x v="4"/>
    <s v="Pending"/>
    <n v="2.6"/>
    <n v="8.1530277465316839E-2"/>
    <n v="4661.2700000000004"/>
    <x v="1"/>
  </r>
  <r>
    <n v="686"/>
    <n v="9455"/>
    <x v="2"/>
    <x v="2"/>
    <n v="38374"/>
    <n v="3"/>
    <n v="115122"/>
    <x v="241"/>
    <x v="2"/>
    <x v="4"/>
    <s v="Delivered"/>
    <n v="3.7"/>
    <n v="5.6686037421170586E-2"/>
    <n v="28010.79"/>
    <x v="0"/>
  </r>
  <r>
    <n v="687"/>
    <n v="1196"/>
    <x v="5"/>
    <x v="2"/>
    <n v="40001"/>
    <n v="3"/>
    <n v="120003"/>
    <x v="70"/>
    <x v="1"/>
    <x v="2"/>
    <s v="Pending"/>
    <n v="4.5999999999999996"/>
    <n v="0.25233969150771229"/>
    <n v="5719.38"/>
    <x v="0"/>
  </r>
  <r>
    <n v="688"/>
    <n v="5008"/>
    <x v="2"/>
    <x v="1"/>
    <n v="24521"/>
    <n v="4"/>
    <n v="98084"/>
    <x v="159"/>
    <x v="1"/>
    <x v="4"/>
    <s v="Pending"/>
    <n v="1.6"/>
    <n v="0.16939194975735083"/>
    <n v="12810.56"/>
    <x v="0"/>
  </r>
  <r>
    <n v="689"/>
    <n v="7902"/>
    <x v="0"/>
    <x v="2"/>
    <n v="8727"/>
    <n v="4"/>
    <n v="34908"/>
    <x v="172"/>
    <x v="1"/>
    <x v="0"/>
    <s v="Cancelled"/>
    <n v="4.5"/>
    <n v="0.27356995531110351"/>
    <n v="922.62"/>
    <x v="1"/>
  </r>
  <r>
    <n v="690"/>
    <n v="7070"/>
    <x v="4"/>
    <x v="2"/>
    <n v="1533"/>
    <n v="3"/>
    <n v="4599"/>
    <x v="314"/>
    <x v="1"/>
    <x v="0"/>
    <s v="Pending"/>
    <n v="2.4"/>
    <n v="0.18228527940856709"/>
    <n v="541.37"/>
    <x v="1"/>
  </r>
  <r>
    <n v="691"/>
    <n v="8658"/>
    <x v="5"/>
    <x v="2"/>
    <n v="7378"/>
    <n v="3"/>
    <n v="22134"/>
    <x v="0"/>
    <x v="3"/>
    <x v="3"/>
    <s v="Delivered"/>
    <n v="3.8"/>
    <n v="0.27763757115749521"/>
    <n v="494.97"/>
    <x v="0"/>
  </r>
  <r>
    <n v="692"/>
    <n v="7585"/>
    <x v="4"/>
    <x v="0"/>
    <n v="26965"/>
    <n v="2"/>
    <n v="53930"/>
    <x v="108"/>
    <x v="1"/>
    <x v="1"/>
    <s v="Pending"/>
    <n v="4.0999999999999996"/>
    <n v="0.2325343964398294"/>
    <n v="3638.42"/>
    <x v="0"/>
  </r>
  <r>
    <n v="693"/>
    <n v="4439"/>
    <x v="1"/>
    <x v="0"/>
    <n v="15643"/>
    <n v="2"/>
    <n v="31286"/>
    <x v="153"/>
    <x v="3"/>
    <x v="3"/>
    <s v="Delivered"/>
    <n v="1.1000000000000001"/>
    <n v="0.1750230134884613"/>
    <n v="3910.03"/>
    <x v="1"/>
  </r>
  <r>
    <n v="694"/>
    <n v="9646"/>
    <x v="1"/>
    <x v="2"/>
    <n v="31510"/>
    <n v="2"/>
    <n v="63020"/>
    <x v="171"/>
    <x v="1"/>
    <x v="0"/>
    <s v="Cancelled"/>
    <n v="1.6"/>
    <n v="0.11607108854331959"/>
    <n v="11591.2"/>
    <x v="0"/>
  </r>
  <r>
    <n v="695"/>
    <n v="9110"/>
    <x v="1"/>
    <x v="1"/>
    <n v="46135"/>
    <n v="1"/>
    <n v="46135"/>
    <x v="263"/>
    <x v="3"/>
    <x v="4"/>
    <s v="Cancelled"/>
    <n v="3.8"/>
    <n v="5.8873956865720174E-2"/>
    <n v="11124.35"/>
    <x v="1"/>
  </r>
  <r>
    <n v="696"/>
    <n v="1955"/>
    <x v="2"/>
    <x v="1"/>
    <n v="21103"/>
    <n v="2"/>
    <n v="42206"/>
    <x v="76"/>
    <x v="0"/>
    <x v="0"/>
    <s v="Delivered"/>
    <n v="1.3"/>
    <n v="0.23638748045301614"/>
    <n v="2684.83"/>
    <x v="0"/>
  </r>
  <r>
    <n v="697"/>
    <n v="1475"/>
    <x v="3"/>
    <x v="0"/>
    <n v="17363"/>
    <n v="2"/>
    <n v="34726"/>
    <x v="315"/>
    <x v="2"/>
    <x v="4"/>
    <s v="Pending"/>
    <n v="5"/>
    <n v="0.27838247998617754"/>
    <n v="750.69"/>
    <x v="1"/>
  </r>
  <r>
    <n v="698"/>
    <n v="3159"/>
    <x v="3"/>
    <x v="2"/>
    <n v="7074"/>
    <n v="5"/>
    <n v="35370"/>
    <x v="57"/>
    <x v="0"/>
    <x v="1"/>
    <s v="Cancelled"/>
    <n v="4.7"/>
    <n v="0.11256997455470738"/>
    <n v="6629.4"/>
    <x v="0"/>
  </r>
  <r>
    <n v="699"/>
    <n v="1394"/>
    <x v="3"/>
    <x v="0"/>
    <n v="37942"/>
    <n v="3"/>
    <n v="113826"/>
    <x v="88"/>
    <x v="3"/>
    <x v="4"/>
    <s v="Delivered"/>
    <n v="2.9"/>
    <n v="0.24423883822676717"/>
    <n v="6347.07"/>
    <x v="0"/>
  </r>
  <r>
    <n v="700"/>
    <n v="5045"/>
    <x v="3"/>
    <x v="2"/>
    <n v="31263"/>
    <n v="2"/>
    <n v="62526"/>
    <x v="316"/>
    <x v="1"/>
    <x v="0"/>
    <s v="Pending"/>
    <n v="4.3"/>
    <n v="0.29022246745353936"/>
    <n v="611.35"/>
    <x v="1"/>
  </r>
  <r>
    <n v="701"/>
    <n v="1719"/>
    <x v="4"/>
    <x v="2"/>
    <n v="49006"/>
    <n v="5"/>
    <n v="245030"/>
    <x v="242"/>
    <x v="2"/>
    <x v="4"/>
    <s v="Pending"/>
    <n v="4.4000000000000004"/>
    <n v="0.10417720279149492"/>
    <n v="47982.46"/>
    <x v="1"/>
  </r>
  <r>
    <n v="702"/>
    <n v="6345"/>
    <x v="4"/>
    <x v="2"/>
    <n v="12737"/>
    <n v="2"/>
    <n v="25474"/>
    <x v="219"/>
    <x v="3"/>
    <x v="0"/>
    <s v="Cancelled"/>
    <n v="3.3"/>
    <n v="0.21011030854989401"/>
    <n v="2289.85"/>
    <x v="1"/>
  </r>
  <r>
    <n v="703"/>
    <n v="3659"/>
    <x v="5"/>
    <x v="1"/>
    <n v="35213"/>
    <n v="4"/>
    <n v="140852"/>
    <x v="189"/>
    <x v="1"/>
    <x v="1"/>
    <s v="Delivered"/>
    <n v="4"/>
    <n v="0.25092132167097375"/>
    <n v="6912.83"/>
    <x v="0"/>
  </r>
  <r>
    <n v="704"/>
    <n v="5306"/>
    <x v="4"/>
    <x v="1"/>
    <n v="6188"/>
    <n v="5"/>
    <n v="30940"/>
    <x v="228"/>
    <x v="2"/>
    <x v="2"/>
    <s v="Delivered"/>
    <n v="2.2999999999999998"/>
    <n v="0.26553393665158376"/>
    <n v="1066.3800000000001"/>
    <x v="1"/>
  </r>
  <r>
    <n v="705"/>
    <n v="5846"/>
    <x v="4"/>
    <x v="1"/>
    <n v="18956"/>
    <n v="2"/>
    <n v="37912"/>
    <x v="194"/>
    <x v="2"/>
    <x v="0"/>
    <s v="Cancelled"/>
    <n v="3.8"/>
    <n v="0.15212122810719561"/>
    <n v="5606.38"/>
    <x v="0"/>
  </r>
  <r>
    <n v="706"/>
    <n v="4912"/>
    <x v="4"/>
    <x v="1"/>
    <n v="5668"/>
    <n v="1"/>
    <n v="5668"/>
    <x v="190"/>
    <x v="1"/>
    <x v="1"/>
    <s v="Pending"/>
    <n v="3.2"/>
    <n v="0.17986591390261114"/>
    <n v="680.92"/>
    <x v="1"/>
  </r>
  <r>
    <n v="707"/>
    <n v="2821"/>
    <x v="4"/>
    <x v="0"/>
    <n v="45840"/>
    <n v="4"/>
    <n v="183360"/>
    <x v="53"/>
    <x v="0"/>
    <x v="0"/>
    <s v="Cancelled"/>
    <n v="3"/>
    <n v="6.6451952443280976E-2"/>
    <n v="42823.37"/>
    <x v="1"/>
  </r>
  <r>
    <n v="708"/>
    <n v="4967"/>
    <x v="3"/>
    <x v="0"/>
    <n v="42311"/>
    <n v="3"/>
    <n v="126933"/>
    <x v="139"/>
    <x v="2"/>
    <x v="2"/>
    <s v="Delivered"/>
    <n v="4.2"/>
    <n v="0.23587026226434418"/>
    <n v="8140.18"/>
    <x v="0"/>
  </r>
  <r>
    <n v="709"/>
    <n v="5583"/>
    <x v="1"/>
    <x v="1"/>
    <n v="4958"/>
    <n v="2"/>
    <n v="9916"/>
    <x v="48"/>
    <x v="2"/>
    <x v="3"/>
    <s v="Pending"/>
    <n v="4.5"/>
    <n v="0.1397408229124647"/>
    <n v="1589.13"/>
    <x v="0"/>
  </r>
  <r>
    <n v="710"/>
    <n v="4594"/>
    <x v="0"/>
    <x v="1"/>
    <n v="34187"/>
    <n v="1"/>
    <n v="34187"/>
    <x v="88"/>
    <x v="1"/>
    <x v="3"/>
    <s v="Delivered"/>
    <n v="4.8"/>
    <n v="0.15593149442770643"/>
    <n v="4925.2700000000004"/>
    <x v="0"/>
  </r>
  <r>
    <n v="711"/>
    <n v="8193"/>
    <x v="0"/>
    <x v="2"/>
    <n v="8210"/>
    <n v="1"/>
    <n v="8210"/>
    <x v="107"/>
    <x v="1"/>
    <x v="2"/>
    <s v="Pending"/>
    <n v="4.4000000000000004"/>
    <n v="0.10375395858708893"/>
    <n v="1611.18"/>
    <x v="1"/>
  </r>
  <r>
    <n v="712"/>
    <n v="6220"/>
    <x v="5"/>
    <x v="0"/>
    <n v="30624"/>
    <n v="2"/>
    <n v="61248"/>
    <x v="70"/>
    <x v="0"/>
    <x v="4"/>
    <s v="Pending"/>
    <n v="1.7"/>
    <n v="0.1992641392371996"/>
    <n v="6169.87"/>
    <x v="1"/>
  </r>
  <r>
    <n v="713"/>
    <n v="1593"/>
    <x v="2"/>
    <x v="2"/>
    <n v="34494"/>
    <n v="1"/>
    <n v="34494"/>
    <x v="317"/>
    <x v="1"/>
    <x v="0"/>
    <s v="Pending"/>
    <n v="1.1000000000000001"/>
    <n v="0.18899315823041687"/>
    <n v="3829.07"/>
    <x v="1"/>
  </r>
  <r>
    <n v="714"/>
    <n v="7228"/>
    <x v="5"/>
    <x v="0"/>
    <n v="14070"/>
    <n v="5"/>
    <n v="70350"/>
    <x v="318"/>
    <x v="1"/>
    <x v="4"/>
    <s v="Delivered"/>
    <n v="2.2999999999999998"/>
    <n v="0.14060852878464819"/>
    <n v="11213.19"/>
    <x v="1"/>
  </r>
  <r>
    <n v="715"/>
    <n v="8770"/>
    <x v="0"/>
    <x v="1"/>
    <n v="17269"/>
    <n v="5"/>
    <n v="86345"/>
    <x v="319"/>
    <x v="3"/>
    <x v="4"/>
    <s v="Cancelled"/>
    <n v="4.9000000000000004"/>
    <n v="0.19617267936765301"/>
    <n v="8964.9699999999993"/>
    <x v="0"/>
  </r>
  <r>
    <n v="716"/>
    <n v="1875"/>
    <x v="2"/>
    <x v="0"/>
    <n v="42983"/>
    <n v="5"/>
    <n v="214915"/>
    <x v="54"/>
    <x v="1"/>
    <x v="4"/>
    <s v="Cancelled"/>
    <n v="3.7"/>
    <n v="0.26111160226135915"/>
    <n v="8357.7000000000007"/>
    <x v="1"/>
  </r>
  <r>
    <n v="717"/>
    <n v="2796"/>
    <x v="1"/>
    <x v="1"/>
    <n v="16892"/>
    <n v="3"/>
    <n v="50676"/>
    <x v="146"/>
    <x v="2"/>
    <x v="1"/>
    <s v="Pending"/>
    <n v="2.4"/>
    <n v="0.16407865656326467"/>
    <n v="6887.95"/>
    <x v="1"/>
  </r>
  <r>
    <n v="718"/>
    <n v="8469"/>
    <x v="2"/>
    <x v="0"/>
    <n v="24650"/>
    <n v="3"/>
    <n v="73950"/>
    <x v="32"/>
    <x v="0"/>
    <x v="2"/>
    <s v="Cancelled"/>
    <n v="2.2999999999999998"/>
    <n v="0.15446436781609194"/>
    <n v="10762.36"/>
    <x v="1"/>
  </r>
  <r>
    <n v="719"/>
    <n v="9490"/>
    <x v="2"/>
    <x v="0"/>
    <n v="8011"/>
    <n v="1"/>
    <n v="8011"/>
    <x v="274"/>
    <x v="2"/>
    <x v="1"/>
    <s v="Pending"/>
    <n v="1"/>
    <n v="0.17519535638497066"/>
    <n v="999.81"/>
    <x v="1"/>
  </r>
  <r>
    <n v="720"/>
    <n v="2096"/>
    <x v="1"/>
    <x v="2"/>
    <n v="10525"/>
    <n v="3"/>
    <n v="31575"/>
    <x v="109"/>
    <x v="1"/>
    <x v="3"/>
    <s v="Pending"/>
    <n v="2.9"/>
    <n v="0.25636357878068095"/>
    <n v="1377.82"/>
    <x v="0"/>
  </r>
  <r>
    <n v="721"/>
    <n v="6177"/>
    <x v="3"/>
    <x v="0"/>
    <n v="20099"/>
    <n v="5"/>
    <n v="100495"/>
    <x v="295"/>
    <x v="0"/>
    <x v="1"/>
    <s v="Pending"/>
    <n v="3.2"/>
    <n v="6.0360913478282506E-2"/>
    <n v="24082.53"/>
    <x v="0"/>
  </r>
  <r>
    <n v="722"/>
    <n v="1982"/>
    <x v="0"/>
    <x v="1"/>
    <n v="29586"/>
    <n v="3"/>
    <n v="88758"/>
    <x v="121"/>
    <x v="1"/>
    <x v="0"/>
    <s v="Pending"/>
    <n v="2.7"/>
    <n v="0.27258872439667409"/>
    <n v="2432.9699999999998"/>
    <x v="1"/>
  </r>
  <r>
    <n v="723"/>
    <n v="1386"/>
    <x v="3"/>
    <x v="0"/>
    <n v="23839"/>
    <n v="3"/>
    <n v="71517"/>
    <x v="233"/>
    <x v="2"/>
    <x v="2"/>
    <s v="Cancelled"/>
    <n v="2.6"/>
    <n v="0.23973097305535748"/>
    <n v="4310.26"/>
    <x v="1"/>
  </r>
  <r>
    <n v="724"/>
    <n v="9776"/>
    <x v="3"/>
    <x v="0"/>
    <n v="25147"/>
    <n v="1"/>
    <n v="25147"/>
    <x v="251"/>
    <x v="2"/>
    <x v="4"/>
    <s v="Delivered"/>
    <n v="4.4000000000000004"/>
    <n v="0.23767725772457945"/>
    <n v="1567.23"/>
    <x v="0"/>
  </r>
  <r>
    <n v="725"/>
    <n v="2844"/>
    <x v="0"/>
    <x v="2"/>
    <n v="19802"/>
    <n v="1"/>
    <n v="19802"/>
    <x v="320"/>
    <x v="1"/>
    <x v="4"/>
    <s v="Cancelled"/>
    <n v="4.9000000000000004"/>
    <n v="0.20132158367841632"/>
    <n v="1954.03"/>
    <x v="0"/>
  </r>
  <r>
    <n v="726"/>
    <n v="2384"/>
    <x v="1"/>
    <x v="1"/>
    <n v="37003"/>
    <n v="1"/>
    <n v="37003"/>
    <x v="90"/>
    <x v="2"/>
    <x v="2"/>
    <s v="Cancelled"/>
    <n v="3"/>
    <n v="0.25552874091289896"/>
    <n v="1645.57"/>
    <x v="0"/>
  </r>
  <r>
    <n v="727"/>
    <n v="3344"/>
    <x v="3"/>
    <x v="2"/>
    <n v="27617"/>
    <n v="2"/>
    <n v="55234"/>
    <x v="36"/>
    <x v="1"/>
    <x v="2"/>
    <s v="Delivered"/>
    <n v="1.5"/>
    <n v="0.15575895281891589"/>
    <n v="7967.01"/>
    <x v="0"/>
  </r>
  <r>
    <n v="728"/>
    <n v="3675"/>
    <x v="1"/>
    <x v="1"/>
    <n v="48176"/>
    <n v="3"/>
    <n v="144528"/>
    <x v="321"/>
    <x v="2"/>
    <x v="2"/>
    <s v="Cancelled"/>
    <n v="4.3"/>
    <n v="0.21417877504704971"/>
    <n v="12403.57"/>
    <x v="0"/>
  </r>
  <r>
    <n v="729"/>
    <n v="1336"/>
    <x v="0"/>
    <x v="2"/>
    <n v="8787"/>
    <n v="4"/>
    <n v="35148"/>
    <x v="264"/>
    <x v="3"/>
    <x v="1"/>
    <s v="Cancelled"/>
    <n v="1.7"/>
    <n v="0.20339877091157393"/>
    <n v="3395.34"/>
    <x v="1"/>
  </r>
  <r>
    <n v="730"/>
    <n v="5559"/>
    <x v="2"/>
    <x v="0"/>
    <n v="12312"/>
    <n v="2"/>
    <n v="24624"/>
    <x v="244"/>
    <x v="1"/>
    <x v="2"/>
    <s v="Cancelled"/>
    <n v="2"/>
    <n v="0.24361679662118257"/>
    <n v="1388.38"/>
    <x v="0"/>
  </r>
  <r>
    <n v="731"/>
    <n v="6007"/>
    <x v="1"/>
    <x v="1"/>
    <n v="8723"/>
    <n v="5"/>
    <n v="43615"/>
    <x v="111"/>
    <x v="1"/>
    <x v="2"/>
    <s v="Pending"/>
    <n v="4.0999999999999996"/>
    <n v="0.26411165883297028"/>
    <n v="1565.27"/>
    <x v="1"/>
  </r>
  <r>
    <n v="732"/>
    <n v="1143"/>
    <x v="2"/>
    <x v="2"/>
    <n v="30543"/>
    <n v="5"/>
    <n v="152715"/>
    <x v="173"/>
    <x v="0"/>
    <x v="2"/>
    <s v="Delivered"/>
    <n v="2.4"/>
    <n v="0.26395449039059687"/>
    <n v="5504.69"/>
    <x v="0"/>
  </r>
  <r>
    <n v="733"/>
    <n v="4787"/>
    <x v="4"/>
    <x v="0"/>
    <n v="8517"/>
    <n v="4"/>
    <n v="34068"/>
    <x v="122"/>
    <x v="3"/>
    <x v="1"/>
    <s v="Pending"/>
    <n v="1.4"/>
    <n v="0.1233955618175414"/>
    <n v="6016.56"/>
    <x v="1"/>
  </r>
  <r>
    <n v="734"/>
    <n v="1212"/>
    <x v="3"/>
    <x v="1"/>
    <n v="24089"/>
    <n v="5"/>
    <n v="120445"/>
    <x v="152"/>
    <x v="3"/>
    <x v="2"/>
    <s v="Delivered"/>
    <n v="1.8"/>
    <n v="0.10389771264892689"/>
    <n v="23619.54"/>
    <x v="0"/>
  </r>
  <r>
    <n v="735"/>
    <n v="5612"/>
    <x v="4"/>
    <x v="1"/>
    <n v="22783"/>
    <n v="5"/>
    <n v="113915"/>
    <x v="220"/>
    <x v="2"/>
    <x v="4"/>
    <s v="Delivered"/>
    <n v="2.2000000000000002"/>
    <n v="6.5274195672211738E-2"/>
    <n v="26738.79"/>
    <x v="1"/>
  </r>
  <r>
    <n v="736"/>
    <n v="2869"/>
    <x v="5"/>
    <x v="2"/>
    <n v="3320"/>
    <n v="1"/>
    <n v="3320"/>
    <x v="322"/>
    <x v="0"/>
    <x v="1"/>
    <s v="Delivered"/>
    <n v="2.4"/>
    <n v="0.12442168674698795"/>
    <n v="582.91999999999996"/>
    <x v="1"/>
  </r>
  <r>
    <n v="737"/>
    <n v="8084"/>
    <x v="4"/>
    <x v="1"/>
    <n v="11840"/>
    <n v="2"/>
    <n v="23680"/>
    <x v="268"/>
    <x v="1"/>
    <x v="1"/>
    <s v="Delivered"/>
    <n v="4"/>
    <n v="0.27557305743243243"/>
    <n v="578.42999999999995"/>
    <x v="0"/>
  </r>
  <r>
    <n v="738"/>
    <n v="6691"/>
    <x v="5"/>
    <x v="1"/>
    <n v="21480"/>
    <n v="5"/>
    <n v="107400"/>
    <x v="55"/>
    <x v="0"/>
    <x v="2"/>
    <s v="Cancelled"/>
    <n v="2.2999999999999998"/>
    <n v="6.3781378026070756E-2"/>
    <n v="25369.88"/>
    <x v="0"/>
  </r>
  <r>
    <n v="739"/>
    <n v="7132"/>
    <x v="4"/>
    <x v="0"/>
    <n v="43468"/>
    <n v="1"/>
    <n v="43468"/>
    <x v="323"/>
    <x v="1"/>
    <x v="3"/>
    <s v="Delivered"/>
    <n v="4.7"/>
    <n v="0.19189541731848714"/>
    <n v="4699.09"/>
    <x v="0"/>
  </r>
  <r>
    <n v="740"/>
    <n v="9706"/>
    <x v="1"/>
    <x v="2"/>
    <n v="45159"/>
    <n v="2"/>
    <n v="90318"/>
    <x v="299"/>
    <x v="3"/>
    <x v="4"/>
    <s v="Cancelled"/>
    <n v="3.9"/>
    <n v="0.28134845767178196"/>
    <n v="1684.57"/>
    <x v="1"/>
  </r>
  <r>
    <n v="741"/>
    <n v="4019"/>
    <x v="4"/>
    <x v="0"/>
    <n v="10840"/>
    <n v="1"/>
    <n v="10840"/>
    <x v="144"/>
    <x v="0"/>
    <x v="3"/>
    <s v="Delivered"/>
    <n v="2.2999999999999998"/>
    <n v="0.20578597785977859"/>
    <n v="1021.28"/>
    <x v="0"/>
  </r>
  <r>
    <n v="742"/>
    <n v="1643"/>
    <x v="3"/>
    <x v="2"/>
    <n v="27598"/>
    <n v="5"/>
    <n v="137990"/>
    <x v="117"/>
    <x v="2"/>
    <x v="3"/>
    <s v="Cancelled"/>
    <n v="4.3"/>
    <n v="0.16468968765852599"/>
    <n v="18671.47"/>
    <x v="0"/>
  </r>
  <r>
    <n v="743"/>
    <n v="9935"/>
    <x v="2"/>
    <x v="1"/>
    <n v="44911"/>
    <n v="1"/>
    <n v="44911"/>
    <x v="324"/>
    <x v="1"/>
    <x v="3"/>
    <s v="Pending"/>
    <n v="4.2"/>
    <n v="0.22258756206719957"/>
    <n v="3476.67"/>
    <x v="1"/>
  </r>
  <r>
    <n v="744"/>
    <n v="5591"/>
    <x v="0"/>
    <x v="0"/>
    <n v="10007"/>
    <n v="2"/>
    <n v="20014"/>
    <x v="325"/>
    <x v="0"/>
    <x v="2"/>
    <s v="Cancelled"/>
    <n v="4.2"/>
    <n v="0.26809133606475466"/>
    <n v="638.62"/>
    <x v="1"/>
  </r>
  <r>
    <n v="745"/>
    <n v="6991"/>
    <x v="0"/>
    <x v="1"/>
    <n v="19482"/>
    <n v="1"/>
    <n v="19482"/>
    <x v="319"/>
    <x v="1"/>
    <x v="2"/>
    <s v="Pending"/>
    <n v="4.4000000000000004"/>
    <n v="0.17812339595524074"/>
    <n v="2374.4"/>
    <x v="1"/>
  </r>
  <r>
    <n v="746"/>
    <n v="9451"/>
    <x v="2"/>
    <x v="0"/>
    <n v="12050"/>
    <n v="5"/>
    <n v="60250"/>
    <x v="303"/>
    <x v="1"/>
    <x v="3"/>
    <s v="Cancelled"/>
    <n v="4.0999999999999996"/>
    <n v="0.26722207468879666"/>
    <n v="1974.87"/>
    <x v="1"/>
  </r>
  <r>
    <n v="747"/>
    <n v="5240"/>
    <x v="5"/>
    <x v="0"/>
    <n v="21405"/>
    <n v="4"/>
    <n v="85620"/>
    <x v="326"/>
    <x v="1"/>
    <x v="4"/>
    <s v="Cancelled"/>
    <n v="3"/>
    <n v="0.19517063770147161"/>
    <n v="8975.49"/>
    <x v="1"/>
  </r>
  <r>
    <n v="748"/>
    <n v="5755"/>
    <x v="3"/>
    <x v="2"/>
    <n v="33562"/>
    <n v="2"/>
    <n v="67124"/>
    <x v="140"/>
    <x v="3"/>
    <x v="4"/>
    <s v="Pending"/>
    <n v="1.6"/>
    <n v="0.11704382933079077"/>
    <n v="12280.75"/>
    <x v="0"/>
  </r>
  <r>
    <n v="749"/>
    <n v="4938"/>
    <x v="2"/>
    <x v="1"/>
    <n v="49590"/>
    <n v="4"/>
    <n v="198360"/>
    <x v="87"/>
    <x v="1"/>
    <x v="0"/>
    <s v="Pending"/>
    <n v="4"/>
    <n v="0.27291903609598711"/>
    <n v="5371.78"/>
    <x v="0"/>
  </r>
  <r>
    <n v="750"/>
    <n v="8469"/>
    <x v="1"/>
    <x v="1"/>
    <n v="13891"/>
    <n v="3"/>
    <n v="41673"/>
    <x v="110"/>
    <x v="0"/>
    <x v="3"/>
    <s v="Delivered"/>
    <n v="3.9"/>
    <n v="0.21765291675665299"/>
    <n v="3431.65"/>
    <x v="0"/>
  </r>
  <r>
    <n v="751"/>
    <n v="2386"/>
    <x v="5"/>
    <x v="0"/>
    <n v="46284"/>
    <n v="4"/>
    <n v="185136"/>
    <x v="49"/>
    <x v="1"/>
    <x v="1"/>
    <s v="Pending"/>
    <n v="2.8"/>
    <n v="0.26309896508512659"/>
    <n v="6831.71"/>
    <x v="0"/>
  </r>
  <r>
    <n v="752"/>
    <n v="1170"/>
    <x v="0"/>
    <x v="0"/>
    <n v="29046"/>
    <n v="2"/>
    <n v="58092"/>
    <x v="269"/>
    <x v="0"/>
    <x v="4"/>
    <s v="Pending"/>
    <n v="3.6"/>
    <n v="0.14778781932107693"/>
    <n v="8842.31"/>
    <x v="1"/>
  </r>
  <r>
    <n v="753"/>
    <n v="8914"/>
    <x v="5"/>
    <x v="0"/>
    <n v="44739"/>
    <n v="2"/>
    <n v="89478"/>
    <x v="327"/>
    <x v="3"/>
    <x v="4"/>
    <s v="Delivered"/>
    <n v="3.9"/>
    <n v="0.20538881065736828"/>
    <n v="8465.6200000000008"/>
    <x v="1"/>
  </r>
  <r>
    <n v="754"/>
    <n v="2884"/>
    <x v="0"/>
    <x v="1"/>
    <n v="27527"/>
    <n v="2"/>
    <n v="55054"/>
    <x v="0"/>
    <x v="0"/>
    <x v="0"/>
    <s v="Delivered"/>
    <n v="1.5"/>
    <n v="0.24425146220074836"/>
    <n v="3069.18"/>
    <x v="0"/>
  </r>
  <r>
    <n v="755"/>
    <n v="2924"/>
    <x v="0"/>
    <x v="0"/>
    <n v="29957"/>
    <n v="3"/>
    <n v="89871"/>
    <x v="266"/>
    <x v="1"/>
    <x v="3"/>
    <s v="Delivered"/>
    <n v="1.8"/>
    <n v="0.17918338507416184"/>
    <n v="10857.91"/>
    <x v="0"/>
  </r>
  <r>
    <n v="756"/>
    <n v="4680"/>
    <x v="4"/>
    <x v="0"/>
    <n v="15159"/>
    <n v="4"/>
    <n v="60636"/>
    <x v="275"/>
    <x v="2"/>
    <x v="4"/>
    <s v="Cancelled"/>
    <n v="4.8"/>
    <n v="8.8801866877762384E-2"/>
    <n v="12806.21"/>
    <x v="0"/>
  </r>
  <r>
    <n v="757"/>
    <n v="3044"/>
    <x v="1"/>
    <x v="1"/>
    <n v="23583"/>
    <n v="2"/>
    <n v="47166"/>
    <x v="199"/>
    <x v="0"/>
    <x v="4"/>
    <s v="Delivered"/>
    <n v="3"/>
    <n v="0.28129054827630073"/>
    <n v="882.45"/>
    <x v="0"/>
  </r>
  <r>
    <n v="758"/>
    <n v="9786"/>
    <x v="4"/>
    <x v="2"/>
    <n v="17892"/>
    <n v="1"/>
    <n v="17892"/>
    <x v="57"/>
    <x v="3"/>
    <x v="1"/>
    <s v="Cancelled"/>
    <n v="4.5999999999999996"/>
    <n v="0.15302202101497875"/>
    <n v="2629.73"/>
    <x v="1"/>
  </r>
  <r>
    <n v="759"/>
    <n v="2600"/>
    <x v="5"/>
    <x v="1"/>
    <n v="40964"/>
    <n v="4"/>
    <n v="163856"/>
    <x v="58"/>
    <x v="2"/>
    <x v="2"/>
    <s v="Pending"/>
    <n v="2.2000000000000002"/>
    <n v="0.18521006249389707"/>
    <n v="18809.02"/>
    <x v="1"/>
  </r>
  <r>
    <n v="760"/>
    <n v="1085"/>
    <x v="4"/>
    <x v="1"/>
    <n v="15475"/>
    <n v="1"/>
    <n v="15475"/>
    <x v="11"/>
    <x v="3"/>
    <x v="2"/>
    <s v="Delivered"/>
    <n v="1.3"/>
    <n v="0.23928400646203554"/>
    <n v="939.58"/>
    <x v="0"/>
  </r>
  <r>
    <n v="761"/>
    <n v="2092"/>
    <x v="1"/>
    <x v="0"/>
    <n v="40219"/>
    <n v="4"/>
    <n v="160876"/>
    <x v="183"/>
    <x v="2"/>
    <x v="0"/>
    <s v="Delivered"/>
    <n v="2.9"/>
    <n v="0.16961143986672966"/>
    <n v="20976.39"/>
    <x v="1"/>
  </r>
  <r>
    <n v="762"/>
    <n v="7568"/>
    <x v="4"/>
    <x v="1"/>
    <n v="43219"/>
    <n v="3"/>
    <n v="129657"/>
    <x v="292"/>
    <x v="0"/>
    <x v="0"/>
    <s v="Cancelled"/>
    <n v="3.6"/>
    <n v="0.23388077774435626"/>
    <n v="8572.82"/>
    <x v="1"/>
  </r>
  <r>
    <n v="763"/>
    <n v="1057"/>
    <x v="4"/>
    <x v="0"/>
    <n v="29885"/>
    <n v="4"/>
    <n v="119540"/>
    <x v="184"/>
    <x v="0"/>
    <x v="3"/>
    <s v="Cancelled"/>
    <n v="2.4"/>
    <n v="8.2208465785511137E-2"/>
    <n v="26034.799999999999"/>
    <x v="1"/>
  </r>
  <r>
    <n v="764"/>
    <n v="5873"/>
    <x v="3"/>
    <x v="2"/>
    <n v="35765"/>
    <n v="2"/>
    <n v="71530"/>
    <x v="85"/>
    <x v="1"/>
    <x v="2"/>
    <s v="Pending"/>
    <n v="1.3"/>
    <n v="0.14847518523696351"/>
    <n v="10838.57"/>
    <x v="0"/>
  </r>
  <r>
    <n v="765"/>
    <n v="6526"/>
    <x v="0"/>
    <x v="0"/>
    <n v="17038"/>
    <n v="3"/>
    <n v="51114"/>
    <x v="262"/>
    <x v="1"/>
    <x v="1"/>
    <s v="Cancelled"/>
    <n v="1.9"/>
    <n v="0.13651758813632273"/>
    <n v="8356.24"/>
    <x v="0"/>
  </r>
  <r>
    <n v="766"/>
    <n v="6017"/>
    <x v="1"/>
    <x v="1"/>
    <n v="11690"/>
    <n v="5"/>
    <n v="58450"/>
    <x v="202"/>
    <x v="1"/>
    <x v="2"/>
    <s v="Pending"/>
    <n v="1.6"/>
    <n v="0.11991462788708299"/>
    <n v="10525.99"/>
    <x v="0"/>
  </r>
  <r>
    <n v="767"/>
    <n v="6940"/>
    <x v="3"/>
    <x v="0"/>
    <n v="38762"/>
    <n v="5"/>
    <n v="193810"/>
    <x v="104"/>
    <x v="3"/>
    <x v="2"/>
    <s v="Delivered"/>
    <n v="2.6"/>
    <n v="0.19754857850472113"/>
    <n v="19856.11"/>
    <x v="1"/>
  </r>
  <r>
    <n v="768"/>
    <n v="3184"/>
    <x v="3"/>
    <x v="0"/>
    <n v="11347"/>
    <n v="3"/>
    <n v="34041"/>
    <x v="175"/>
    <x v="0"/>
    <x v="4"/>
    <s v="Delivered"/>
    <n v="1.9"/>
    <n v="0.17490761140977057"/>
    <n v="4258.2700000000004"/>
    <x v="0"/>
  </r>
  <r>
    <n v="769"/>
    <n v="5477"/>
    <x v="2"/>
    <x v="0"/>
    <n v="4451"/>
    <n v="1"/>
    <n v="4451"/>
    <x v="311"/>
    <x v="1"/>
    <x v="3"/>
    <s v="Delivered"/>
    <n v="2.5"/>
    <n v="0.17145135924511345"/>
    <n v="572.16999999999996"/>
    <x v="1"/>
  </r>
  <r>
    <n v="770"/>
    <n v="8662"/>
    <x v="3"/>
    <x v="0"/>
    <n v="41430"/>
    <n v="1"/>
    <n v="41430"/>
    <x v="328"/>
    <x v="1"/>
    <x v="0"/>
    <s v="Delivered"/>
    <n v="2.1"/>
    <n v="0.12374342264059859"/>
    <n v="7302.31"/>
    <x v="0"/>
  </r>
  <r>
    <n v="771"/>
    <n v="2768"/>
    <x v="3"/>
    <x v="0"/>
    <n v="37962"/>
    <n v="3"/>
    <n v="113886"/>
    <x v="117"/>
    <x v="1"/>
    <x v="1"/>
    <s v="Delivered"/>
    <n v="4.5999999999999996"/>
    <n v="0.11257090423757091"/>
    <n v="21345.55"/>
    <x v="0"/>
  </r>
  <r>
    <n v="772"/>
    <n v="9585"/>
    <x v="5"/>
    <x v="0"/>
    <n v="29634"/>
    <n v="3"/>
    <n v="88902"/>
    <x v="329"/>
    <x v="1"/>
    <x v="2"/>
    <s v="Cancelled"/>
    <n v="5"/>
    <n v="0.17265708308024566"/>
    <n v="11321.04"/>
    <x v="0"/>
  </r>
  <r>
    <n v="773"/>
    <n v="1321"/>
    <x v="1"/>
    <x v="0"/>
    <n v="44826"/>
    <n v="1"/>
    <n v="44826"/>
    <x v="72"/>
    <x v="3"/>
    <x v="4"/>
    <s v="Cancelled"/>
    <n v="4.0999999999999996"/>
    <n v="0.18987774952036762"/>
    <n v="4936.34"/>
    <x v="1"/>
  </r>
  <r>
    <n v="774"/>
    <n v="9771"/>
    <x v="2"/>
    <x v="2"/>
    <n v="4585"/>
    <n v="4"/>
    <n v="18340"/>
    <x v="148"/>
    <x v="2"/>
    <x v="1"/>
    <s v="Delivered"/>
    <n v="4.2"/>
    <n v="0.12024100327153761"/>
    <n v="3296.78"/>
    <x v="0"/>
  </r>
  <r>
    <n v="775"/>
    <n v="6717"/>
    <x v="0"/>
    <x v="2"/>
    <n v="29975"/>
    <n v="3"/>
    <n v="89925"/>
    <x v="297"/>
    <x v="1"/>
    <x v="2"/>
    <s v="Cancelled"/>
    <n v="1.6"/>
    <n v="0.27658971365026414"/>
    <n v="2105.17"/>
    <x v="0"/>
  </r>
  <r>
    <n v="776"/>
    <n v="1602"/>
    <x v="3"/>
    <x v="0"/>
    <n v="47734"/>
    <n v="2"/>
    <n v="95468"/>
    <x v="235"/>
    <x v="1"/>
    <x v="4"/>
    <s v="Delivered"/>
    <n v="2.9"/>
    <n v="7.4258599740227083E-2"/>
    <n v="21551.08"/>
    <x v="1"/>
  </r>
  <r>
    <n v="777"/>
    <n v="4407"/>
    <x v="1"/>
    <x v="1"/>
    <n v="12352"/>
    <n v="1"/>
    <n v="12352"/>
    <x v="221"/>
    <x v="2"/>
    <x v="1"/>
    <s v="Cancelled"/>
    <n v="2.6"/>
    <n v="8.8593749999999999E-2"/>
    <n v="2611.29"/>
    <x v="1"/>
  </r>
  <r>
    <n v="778"/>
    <n v="4081"/>
    <x v="4"/>
    <x v="0"/>
    <n v="14226"/>
    <n v="5"/>
    <n v="71130"/>
    <x v="43"/>
    <x v="3"/>
    <x v="3"/>
    <s v="Pending"/>
    <n v="1.3"/>
    <n v="0.26319105862505271"/>
    <n v="2618.2199999999998"/>
    <x v="0"/>
  </r>
  <r>
    <n v="779"/>
    <n v="8160"/>
    <x v="1"/>
    <x v="0"/>
    <n v="48415"/>
    <n v="5"/>
    <n v="242075"/>
    <x v="127"/>
    <x v="2"/>
    <x v="0"/>
    <s v="Pending"/>
    <n v="4.4000000000000004"/>
    <n v="8.5161045130641336E-2"/>
    <n v="52007.14"/>
    <x v="1"/>
  </r>
  <r>
    <n v="780"/>
    <n v="6623"/>
    <x v="0"/>
    <x v="1"/>
    <n v="7432"/>
    <n v="2"/>
    <n v="14864"/>
    <x v="8"/>
    <x v="3"/>
    <x v="0"/>
    <s v="Cancelled"/>
    <n v="4.2"/>
    <n v="0.27624394510226052"/>
    <n v="353.11"/>
    <x v="1"/>
  </r>
  <r>
    <n v="781"/>
    <n v="5885"/>
    <x v="5"/>
    <x v="2"/>
    <n v="19792"/>
    <n v="1"/>
    <n v="19792"/>
    <x v="164"/>
    <x v="3"/>
    <x v="1"/>
    <s v="Cancelled"/>
    <n v="4.5999999999999996"/>
    <n v="0.1070604284559418"/>
    <n v="3818.66"/>
    <x v="1"/>
  </r>
  <r>
    <n v="782"/>
    <n v="2400"/>
    <x v="1"/>
    <x v="2"/>
    <n v="49024"/>
    <n v="1"/>
    <n v="49024"/>
    <x v="234"/>
    <x v="0"/>
    <x v="2"/>
    <s v="Delivered"/>
    <n v="2.2000000000000002"/>
    <n v="0.2897666449086162"/>
    <n v="501.68"/>
    <x v="1"/>
  </r>
  <r>
    <n v="783"/>
    <n v="9122"/>
    <x v="0"/>
    <x v="0"/>
    <n v="35441"/>
    <n v="1"/>
    <n v="35441"/>
    <x v="223"/>
    <x v="0"/>
    <x v="3"/>
    <s v="Pending"/>
    <n v="1.4"/>
    <n v="0.14073615304308568"/>
    <n v="5644.47"/>
    <x v="1"/>
  </r>
  <r>
    <n v="784"/>
    <n v="8839"/>
    <x v="5"/>
    <x v="0"/>
    <n v="4954"/>
    <n v="4"/>
    <n v="19816"/>
    <x v="33"/>
    <x v="1"/>
    <x v="3"/>
    <s v="Cancelled"/>
    <n v="1.8"/>
    <n v="0.26136505853855468"/>
    <n v="765.59"/>
    <x v="1"/>
  </r>
  <r>
    <n v="785"/>
    <n v="8528"/>
    <x v="2"/>
    <x v="1"/>
    <n v="23437"/>
    <n v="4"/>
    <n v="93748"/>
    <x v="330"/>
    <x v="3"/>
    <x v="1"/>
    <s v="Pending"/>
    <n v="3.3"/>
    <n v="0.10443412126125357"/>
    <n v="18333.91"/>
    <x v="1"/>
  </r>
  <r>
    <n v="786"/>
    <n v="5825"/>
    <x v="0"/>
    <x v="2"/>
    <n v="42870"/>
    <n v="2"/>
    <n v="85740"/>
    <x v="44"/>
    <x v="2"/>
    <x v="2"/>
    <s v="Delivered"/>
    <n v="2.9"/>
    <n v="0.10717051551201305"/>
    <n v="16533.2"/>
    <x v="0"/>
  </r>
  <r>
    <n v="787"/>
    <n v="7969"/>
    <x v="3"/>
    <x v="0"/>
    <n v="46854"/>
    <n v="3"/>
    <n v="140562"/>
    <x v="37"/>
    <x v="3"/>
    <x v="4"/>
    <s v="Pending"/>
    <n v="3.8"/>
    <n v="0.24739132909321154"/>
    <n v="7394.78"/>
    <x v="1"/>
  </r>
  <r>
    <n v="788"/>
    <n v="2719"/>
    <x v="0"/>
    <x v="1"/>
    <n v="10115"/>
    <n v="3"/>
    <n v="30345"/>
    <x v="42"/>
    <x v="2"/>
    <x v="4"/>
    <s v="Delivered"/>
    <n v="2.8"/>
    <n v="7.1765035425935084E-2"/>
    <n v="6925.79"/>
    <x v="0"/>
  </r>
  <r>
    <n v="789"/>
    <n v="3858"/>
    <x v="5"/>
    <x v="2"/>
    <n v="29715"/>
    <n v="1"/>
    <n v="29715"/>
    <x v="331"/>
    <x v="1"/>
    <x v="2"/>
    <s v="Delivered"/>
    <n v="4.9000000000000004"/>
    <n v="0.24047349823321554"/>
    <n v="1768.83"/>
    <x v="0"/>
  </r>
  <r>
    <n v="790"/>
    <n v="4049"/>
    <x v="5"/>
    <x v="1"/>
    <n v="34286"/>
    <n v="3"/>
    <n v="102858"/>
    <x v="247"/>
    <x v="0"/>
    <x v="2"/>
    <s v="Pending"/>
    <n v="1.4"/>
    <n v="0.11989655641758541"/>
    <n v="18525.080000000002"/>
    <x v="0"/>
  </r>
  <r>
    <n v="791"/>
    <n v="8059"/>
    <x v="0"/>
    <x v="1"/>
    <n v="38644"/>
    <n v="1"/>
    <n v="38644"/>
    <x v="124"/>
    <x v="2"/>
    <x v="3"/>
    <s v="Delivered"/>
    <n v="1.3"/>
    <n v="0.26458803436497258"/>
    <n v="1368.46"/>
    <x v="0"/>
  </r>
  <r>
    <n v="792"/>
    <n v="5984"/>
    <x v="0"/>
    <x v="1"/>
    <n v="43721"/>
    <n v="4"/>
    <n v="174884"/>
    <x v="212"/>
    <x v="1"/>
    <x v="2"/>
    <s v="Delivered"/>
    <n v="3.2"/>
    <n v="0.21927403307335147"/>
    <n v="14117.68"/>
    <x v="1"/>
  </r>
  <r>
    <n v="793"/>
    <n v="2986"/>
    <x v="5"/>
    <x v="0"/>
    <n v="11846"/>
    <n v="1"/>
    <n v="11846"/>
    <x v="181"/>
    <x v="3"/>
    <x v="1"/>
    <s v="Cancelled"/>
    <n v="3.7"/>
    <n v="0.19631858855309811"/>
    <n v="1228.21"/>
    <x v="0"/>
  </r>
  <r>
    <n v="794"/>
    <n v="8931"/>
    <x v="3"/>
    <x v="0"/>
    <n v="28337"/>
    <n v="2"/>
    <n v="56674"/>
    <x v="227"/>
    <x v="0"/>
    <x v="0"/>
    <s v="Delivered"/>
    <n v="3.8"/>
    <n v="0.10783780922468858"/>
    <n v="10890.6"/>
    <x v="0"/>
  </r>
  <r>
    <n v="795"/>
    <n v="9998"/>
    <x v="0"/>
    <x v="0"/>
    <n v="49892"/>
    <n v="5"/>
    <n v="249460"/>
    <x v="20"/>
    <x v="0"/>
    <x v="0"/>
    <s v="Delivered"/>
    <n v="4.5"/>
    <n v="5.048665116651968E-2"/>
    <n v="62243.6"/>
    <x v="0"/>
  </r>
  <r>
    <n v="796"/>
    <n v="9705"/>
    <x v="0"/>
    <x v="0"/>
    <n v="27621"/>
    <n v="3"/>
    <n v="82863"/>
    <x v="170"/>
    <x v="3"/>
    <x v="4"/>
    <s v="Delivered"/>
    <n v="1.4"/>
    <n v="0.10246370515187721"/>
    <n v="16368.45"/>
    <x v="0"/>
  </r>
  <r>
    <n v="797"/>
    <n v="6209"/>
    <x v="4"/>
    <x v="1"/>
    <n v="36014"/>
    <n v="5"/>
    <n v="180070"/>
    <x v="271"/>
    <x v="0"/>
    <x v="1"/>
    <s v="Cancelled"/>
    <n v="1.9"/>
    <n v="8.8679402454600986E-2"/>
    <n v="38052.5"/>
    <x v="1"/>
  </r>
  <r>
    <n v="798"/>
    <n v="4662"/>
    <x v="4"/>
    <x v="1"/>
    <n v="6815"/>
    <n v="5"/>
    <n v="34075"/>
    <x v="58"/>
    <x v="0"/>
    <x v="1"/>
    <s v="Pending"/>
    <n v="2.8"/>
    <n v="0.18979486426999267"/>
    <n v="3755.24"/>
    <x v="1"/>
  </r>
  <r>
    <n v="799"/>
    <n v="8225"/>
    <x v="5"/>
    <x v="1"/>
    <n v="47363"/>
    <n v="5"/>
    <n v="236815"/>
    <x v="18"/>
    <x v="2"/>
    <x v="0"/>
    <s v="Delivered"/>
    <n v="2.9"/>
    <n v="0.21333741528197117"/>
    <n v="20523"/>
    <x v="1"/>
  </r>
  <r>
    <n v="800"/>
    <n v="5206"/>
    <x v="1"/>
    <x v="2"/>
    <n v="39570"/>
    <n v="2"/>
    <n v="79140"/>
    <x v="276"/>
    <x v="2"/>
    <x v="3"/>
    <s v="Cancelled"/>
    <n v="4.5999999999999996"/>
    <n v="0.23243366186504927"/>
    <n v="5347.2"/>
    <x v="0"/>
  </r>
  <r>
    <n v="801"/>
    <n v="6494"/>
    <x v="0"/>
    <x v="0"/>
    <n v="25478"/>
    <n v="2"/>
    <n v="50956"/>
    <x v="189"/>
    <x v="0"/>
    <x v="1"/>
    <s v="Pending"/>
    <n v="1.1000000000000001"/>
    <n v="0.15716539759792764"/>
    <n v="7278.28"/>
    <x v="1"/>
  </r>
  <r>
    <n v="802"/>
    <n v="6849"/>
    <x v="2"/>
    <x v="1"/>
    <n v="30221"/>
    <n v="3"/>
    <n v="90663"/>
    <x v="121"/>
    <x v="0"/>
    <x v="2"/>
    <s v="Cancelled"/>
    <n v="1.3"/>
    <n v="0.1353092220641276"/>
    <n v="14931.36"/>
    <x v="0"/>
  </r>
  <r>
    <n v="803"/>
    <n v="7739"/>
    <x v="0"/>
    <x v="0"/>
    <n v="9665"/>
    <n v="5"/>
    <n v="48325"/>
    <x v="188"/>
    <x v="0"/>
    <x v="3"/>
    <s v="Delivered"/>
    <n v="2"/>
    <n v="5.6770201758923951E-2"/>
    <n v="11754.08"/>
    <x v="0"/>
  </r>
  <r>
    <n v="804"/>
    <n v="9171"/>
    <x v="3"/>
    <x v="2"/>
    <n v="27017"/>
    <n v="3"/>
    <n v="81051"/>
    <x v="38"/>
    <x v="1"/>
    <x v="0"/>
    <s v="Delivered"/>
    <n v="4.8"/>
    <n v="7.9677980530776918E-2"/>
    <n v="17857.32"/>
    <x v="0"/>
  </r>
  <r>
    <n v="805"/>
    <n v="1723"/>
    <x v="3"/>
    <x v="2"/>
    <n v="20195"/>
    <n v="2"/>
    <n v="40390"/>
    <x v="254"/>
    <x v="1"/>
    <x v="0"/>
    <s v="Delivered"/>
    <n v="3.1"/>
    <n v="0.24363109680614015"/>
    <n v="2276.7399999999998"/>
    <x v="0"/>
  </r>
  <r>
    <n v="806"/>
    <n v="6287"/>
    <x v="0"/>
    <x v="0"/>
    <n v="33596"/>
    <n v="1"/>
    <n v="33596"/>
    <x v="148"/>
    <x v="3"/>
    <x v="4"/>
    <s v="Pending"/>
    <n v="4"/>
    <n v="0.10204935111322776"/>
    <n v="6650.35"/>
    <x v="0"/>
  </r>
  <r>
    <n v="807"/>
    <n v="2811"/>
    <x v="4"/>
    <x v="2"/>
    <n v="21069"/>
    <n v="2"/>
    <n v="42138"/>
    <x v="192"/>
    <x v="3"/>
    <x v="1"/>
    <s v="Cancelled"/>
    <n v="2.7"/>
    <n v="0.28392187574161087"/>
    <n v="677.5"/>
    <x v="1"/>
  </r>
  <r>
    <n v="808"/>
    <n v="9735"/>
    <x v="3"/>
    <x v="1"/>
    <n v="26892"/>
    <n v="5"/>
    <n v="134460"/>
    <x v="287"/>
    <x v="3"/>
    <x v="3"/>
    <s v="Delivered"/>
    <n v="2.2999999999999998"/>
    <n v="0.26593797411869696"/>
    <n v="4579.9799999999996"/>
    <x v="1"/>
  </r>
  <r>
    <n v="809"/>
    <n v="4446"/>
    <x v="1"/>
    <x v="2"/>
    <n v="10639"/>
    <n v="2"/>
    <n v="21278"/>
    <x v="35"/>
    <x v="1"/>
    <x v="1"/>
    <s v="Cancelled"/>
    <n v="1.1000000000000001"/>
    <n v="0.23390544224081211"/>
    <n v="1406.36"/>
    <x v="1"/>
  </r>
  <r>
    <n v="810"/>
    <n v="8534"/>
    <x v="0"/>
    <x v="2"/>
    <n v="29486"/>
    <n v="5"/>
    <n v="147430"/>
    <x v="225"/>
    <x v="2"/>
    <x v="3"/>
    <s v="Pending"/>
    <n v="2.9"/>
    <n v="0.28407386556331821"/>
    <n v="2347.9899999999998"/>
    <x v="1"/>
  </r>
  <r>
    <n v="811"/>
    <n v="9257"/>
    <x v="4"/>
    <x v="1"/>
    <n v="29620"/>
    <n v="1"/>
    <n v="29620"/>
    <x v="230"/>
    <x v="0"/>
    <x v="3"/>
    <s v="Cancelled"/>
    <n v="2"/>
    <n v="0.24115496286293045"/>
    <n v="1742.99"/>
    <x v="1"/>
  </r>
  <r>
    <n v="812"/>
    <n v="2750"/>
    <x v="1"/>
    <x v="0"/>
    <n v="43563"/>
    <n v="1"/>
    <n v="43563"/>
    <x v="294"/>
    <x v="3"/>
    <x v="0"/>
    <s v="Delivered"/>
    <n v="3.8"/>
    <n v="0.17031402795950693"/>
    <n v="5649.51"/>
    <x v="0"/>
  </r>
  <r>
    <n v="813"/>
    <n v="4630"/>
    <x v="3"/>
    <x v="1"/>
    <n v="15527"/>
    <n v="1"/>
    <n v="15527"/>
    <x v="274"/>
    <x v="2"/>
    <x v="1"/>
    <s v="Delivered"/>
    <n v="1.9"/>
    <n v="6.1904424550782509E-2"/>
    <n v="3696.91"/>
    <x v="0"/>
  </r>
  <r>
    <n v="814"/>
    <n v="1814"/>
    <x v="3"/>
    <x v="0"/>
    <n v="37847"/>
    <n v="4"/>
    <n v="151388"/>
    <x v="145"/>
    <x v="0"/>
    <x v="3"/>
    <s v="Cancelled"/>
    <n v="1"/>
    <n v="0.28695081512405213"/>
    <n v="1975.49"/>
    <x v="0"/>
  </r>
  <r>
    <n v="815"/>
    <n v="2204"/>
    <x v="0"/>
    <x v="1"/>
    <n v="40167"/>
    <n v="4"/>
    <n v="160668"/>
    <x v="167"/>
    <x v="2"/>
    <x v="3"/>
    <s v="Pending"/>
    <n v="3.6"/>
    <n v="0.18117422262055918"/>
    <n v="19091.5"/>
    <x v="1"/>
  </r>
  <r>
    <n v="816"/>
    <n v="4854"/>
    <x v="4"/>
    <x v="2"/>
    <n v="21947"/>
    <n v="5"/>
    <n v="109735"/>
    <x v="257"/>
    <x v="2"/>
    <x v="0"/>
    <s v="Cancelled"/>
    <n v="4.0999999999999996"/>
    <n v="0.15618079919806807"/>
    <n v="15782"/>
    <x v="1"/>
  </r>
  <r>
    <n v="817"/>
    <n v="9440"/>
    <x v="3"/>
    <x v="0"/>
    <n v="25445"/>
    <n v="2"/>
    <n v="50890"/>
    <x v="170"/>
    <x v="1"/>
    <x v="2"/>
    <s v="Pending"/>
    <n v="4.5"/>
    <n v="0.21872902338376893"/>
    <n v="4135.88"/>
    <x v="0"/>
  </r>
  <r>
    <n v="818"/>
    <n v="7578"/>
    <x v="0"/>
    <x v="2"/>
    <n v="6325"/>
    <n v="4"/>
    <n v="25300"/>
    <x v="319"/>
    <x v="0"/>
    <x v="0"/>
    <s v="Delivered"/>
    <n v="1.6"/>
    <n v="0.14632371541501976"/>
    <n v="3888.01"/>
    <x v="0"/>
  </r>
  <r>
    <n v="819"/>
    <n v="6418"/>
    <x v="2"/>
    <x v="2"/>
    <n v="42607"/>
    <n v="4"/>
    <n v="170428"/>
    <x v="316"/>
    <x v="3"/>
    <x v="0"/>
    <s v="Cancelled"/>
    <n v="1.7"/>
    <n v="0.22287088975989863"/>
    <n v="13144.96"/>
    <x v="0"/>
  </r>
  <r>
    <n v="820"/>
    <n v="9018"/>
    <x v="0"/>
    <x v="2"/>
    <n v="42508"/>
    <n v="5"/>
    <n v="212540"/>
    <x v="2"/>
    <x v="3"/>
    <x v="3"/>
    <s v="Cancelled"/>
    <n v="1.2"/>
    <n v="0.12610214547849816"/>
    <n v="36960.25"/>
    <x v="1"/>
  </r>
  <r>
    <n v="821"/>
    <n v="7205"/>
    <x v="4"/>
    <x v="1"/>
    <n v="34430"/>
    <n v="4"/>
    <n v="137720"/>
    <x v="141"/>
    <x v="2"/>
    <x v="2"/>
    <s v="Pending"/>
    <n v="1.1000000000000001"/>
    <n v="0.10901931455126343"/>
    <n v="26301.86"/>
    <x v="1"/>
  </r>
  <r>
    <n v="822"/>
    <n v="3889"/>
    <x v="3"/>
    <x v="2"/>
    <n v="45269"/>
    <n v="3"/>
    <n v="135807"/>
    <x v="310"/>
    <x v="1"/>
    <x v="2"/>
    <s v="Delivered"/>
    <n v="1.9"/>
    <n v="0.29224207883246073"/>
    <n v="1053.58"/>
    <x v="0"/>
  </r>
  <r>
    <n v="823"/>
    <n v="3714"/>
    <x v="4"/>
    <x v="0"/>
    <n v="10314"/>
    <n v="1"/>
    <n v="10314"/>
    <x v="34"/>
    <x v="0"/>
    <x v="3"/>
    <s v="Pending"/>
    <n v="1.3"/>
    <n v="0.21282043823928642"/>
    <n v="899.17"/>
    <x v="1"/>
  </r>
  <r>
    <n v="824"/>
    <n v="6300"/>
    <x v="1"/>
    <x v="1"/>
    <n v="7489"/>
    <n v="4"/>
    <n v="29956"/>
    <x v="46"/>
    <x v="1"/>
    <x v="0"/>
    <s v="Delivered"/>
    <n v="1.7"/>
    <n v="0.12029910535451996"/>
    <n v="5383.12"/>
    <x v="1"/>
  </r>
  <r>
    <n v="825"/>
    <n v="6982"/>
    <x v="1"/>
    <x v="1"/>
    <n v="42438"/>
    <n v="5"/>
    <n v="212190"/>
    <x v="332"/>
    <x v="3"/>
    <x v="2"/>
    <s v="Delivered"/>
    <n v="3.9"/>
    <n v="6.041590084358358E-2"/>
    <n v="50837.35"/>
    <x v="1"/>
  </r>
  <r>
    <n v="826"/>
    <n v="1343"/>
    <x v="5"/>
    <x v="0"/>
    <n v="31198"/>
    <n v="1"/>
    <n v="31198"/>
    <x v="190"/>
    <x v="0"/>
    <x v="2"/>
    <s v="Cancelled"/>
    <n v="4.0999999999999996"/>
    <n v="0.15567792807231234"/>
    <n v="4502.5600000000004"/>
    <x v="1"/>
  </r>
  <r>
    <n v="827"/>
    <n v="9829"/>
    <x v="2"/>
    <x v="1"/>
    <n v="31176"/>
    <n v="1"/>
    <n v="31176"/>
    <x v="333"/>
    <x v="2"/>
    <x v="0"/>
    <s v="Delivered"/>
    <n v="2.6"/>
    <n v="9.8979022324865287E-2"/>
    <n v="6267.03"/>
    <x v="0"/>
  </r>
  <r>
    <n v="828"/>
    <n v="7059"/>
    <x v="1"/>
    <x v="2"/>
    <n v="44890"/>
    <n v="2"/>
    <n v="89780"/>
    <x v="65"/>
    <x v="2"/>
    <x v="1"/>
    <s v="Cancelled"/>
    <n v="4.9000000000000004"/>
    <n v="8.0453887280017816E-2"/>
    <n v="19710.849999999999"/>
    <x v="0"/>
  </r>
  <r>
    <n v="829"/>
    <n v="7153"/>
    <x v="1"/>
    <x v="2"/>
    <n v="8070"/>
    <n v="1"/>
    <n v="8070"/>
    <x v="334"/>
    <x v="1"/>
    <x v="2"/>
    <s v="Delivered"/>
    <n v="1.1000000000000001"/>
    <n v="0.11355266418835191"/>
    <n v="1504.63"/>
    <x v="1"/>
  </r>
  <r>
    <n v="830"/>
    <n v="8796"/>
    <x v="2"/>
    <x v="2"/>
    <n v="16629"/>
    <n v="2"/>
    <n v="33258"/>
    <x v="201"/>
    <x v="3"/>
    <x v="3"/>
    <s v="Pending"/>
    <n v="2"/>
    <n v="0.21507907871790247"/>
    <n v="2824.3"/>
    <x v="0"/>
  </r>
  <r>
    <n v="831"/>
    <n v="4832"/>
    <x v="3"/>
    <x v="0"/>
    <n v="46288"/>
    <n v="1"/>
    <n v="46288"/>
    <x v="176"/>
    <x v="2"/>
    <x v="0"/>
    <s v="Pending"/>
    <n v="3.1"/>
    <n v="6.7016289319045977E-2"/>
    <n v="10784.35"/>
    <x v="1"/>
  </r>
  <r>
    <n v="832"/>
    <n v="8763"/>
    <x v="2"/>
    <x v="0"/>
    <n v="1609"/>
    <n v="5"/>
    <n v="8045"/>
    <x v="260"/>
    <x v="0"/>
    <x v="2"/>
    <s v="Delivered"/>
    <n v="3.9"/>
    <n v="0.2805494095711622"/>
    <n v="156.47999999999999"/>
    <x v="0"/>
  </r>
  <r>
    <n v="833"/>
    <n v="6912"/>
    <x v="1"/>
    <x v="0"/>
    <n v="42795"/>
    <n v="3"/>
    <n v="128385"/>
    <x v="28"/>
    <x v="2"/>
    <x v="1"/>
    <s v="Cancelled"/>
    <n v="1.6"/>
    <n v="0.21318432838727264"/>
    <n v="11145.83"/>
    <x v="0"/>
  </r>
  <r>
    <n v="834"/>
    <n v="6403"/>
    <x v="0"/>
    <x v="1"/>
    <n v="31792"/>
    <n v="5"/>
    <n v="158960"/>
    <x v="195"/>
    <x v="0"/>
    <x v="2"/>
    <s v="Delivered"/>
    <n v="3.4"/>
    <n v="0.26210449169602412"/>
    <n v="6023.87"/>
    <x v="1"/>
  </r>
  <r>
    <n v="835"/>
    <n v="9747"/>
    <x v="2"/>
    <x v="1"/>
    <n v="30658"/>
    <n v="3"/>
    <n v="91974"/>
    <x v="310"/>
    <x v="0"/>
    <x v="1"/>
    <s v="Pending"/>
    <n v="4.3"/>
    <n v="9.3541870528627655E-2"/>
    <n v="18988.78"/>
    <x v="0"/>
  </r>
  <r>
    <n v="836"/>
    <n v="8089"/>
    <x v="3"/>
    <x v="2"/>
    <n v="20315"/>
    <n v="2"/>
    <n v="40630"/>
    <x v="191"/>
    <x v="1"/>
    <x v="1"/>
    <s v="Cancelled"/>
    <n v="3"/>
    <n v="0.14241176470588235"/>
    <n v="6402.81"/>
    <x v="1"/>
  </r>
  <r>
    <n v="837"/>
    <n v="7645"/>
    <x v="2"/>
    <x v="2"/>
    <n v="36868"/>
    <n v="3"/>
    <n v="110604"/>
    <x v="335"/>
    <x v="2"/>
    <x v="4"/>
    <s v="Cancelled"/>
    <n v="2.7"/>
    <n v="5.3562348558822463E-2"/>
    <n v="27256.99"/>
    <x v="0"/>
  </r>
  <r>
    <n v="838"/>
    <n v="6403"/>
    <x v="4"/>
    <x v="2"/>
    <n v="37229"/>
    <n v="5"/>
    <n v="186145"/>
    <x v="62"/>
    <x v="3"/>
    <x v="0"/>
    <s v="Pending"/>
    <n v="2.1"/>
    <n v="0.12801649251927261"/>
    <n v="32013.87"/>
    <x v="0"/>
  </r>
  <r>
    <n v="839"/>
    <n v="5890"/>
    <x v="3"/>
    <x v="2"/>
    <n v="36987"/>
    <n v="1"/>
    <n v="36987"/>
    <x v="246"/>
    <x v="2"/>
    <x v="3"/>
    <s v="Cancelled"/>
    <n v="2.7"/>
    <n v="0.28493578824992566"/>
    <n v="557.17999999999995"/>
    <x v="1"/>
  </r>
  <r>
    <n v="840"/>
    <n v="3629"/>
    <x v="4"/>
    <x v="0"/>
    <n v="26488"/>
    <n v="4"/>
    <n v="105952"/>
    <x v="124"/>
    <x v="2"/>
    <x v="0"/>
    <s v="Cancelled"/>
    <n v="1.2"/>
    <n v="0.26135938915735429"/>
    <n v="4094.05"/>
    <x v="0"/>
  </r>
  <r>
    <n v="841"/>
    <n v="7993"/>
    <x v="2"/>
    <x v="0"/>
    <n v="34962"/>
    <n v="1"/>
    <n v="34962"/>
    <x v="41"/>
    <x v="2"/>
    <x v="1"/>
    <s v="Delivered"/>
    <n v="1.8"/>
    <n v="0.21034866426405813"/>
    <n v="3134.39"/>
    <x v="0"/>
  </r>
  <r>
    <n v="842"/>
    <n v="6368"/>
    <x v="1"/>
    <x v="2"/>
    <n v="35290"/>
    <n v="3"/>
    <n v="105870"/>
    <x v="128"/>
    <x v="3"/>
    <x v="4"/>
    <s v="Pending"/>
    <n v="3.9"/>
    <n v="0.27138594502691982"/>
    <n v="3029.37"/>
    <x v="1"/>
  </r>
  <r>
    <n v="843"/>
    <n v="7716"/>
    <x v="5"/>
    <x v="1"/>
    <n v="22118"/>
    <n v="4"/>
    <n v="88472"/>
    <x v="91"/>
    <x v="3"/>
    <x v="1"/>
    <s v="Pending"/>
    <n v="3.7"/>
    <n v="0.14792250655574646"/>
    <n v="13454.6"/>
    <x v="1"/>
  </r>
  <r>
    <n v="844"/>
    <n v="6563"/>
    <x v="4"/>
    <x v="1"/>
    <n v="7814"/>
    <n v="2"/>
    <n v="15628"/>
    <x v="93"/>
    <x v="2"/>
    <x v="2"/>
    <s v="Pending"/>
    <n v="2.1"/>
    <n v="0.1930925262349629"/>
    <n v="1670.75"/>
    <x v="0"/>
  </r>
  <r>
    <n v="845"/>
    <n v="6846"/>
    <x v="0"/>
    <x v="1"/>
    <n v="37645"/>
    <n v="2"/>
    <n v="75290"/>
    <x v="120"/>
    <x v="2"/>
    <x v="0"/>
    <s v="Cancelled"/>
    <n v="4.5"/>
    <n v="0.11309350511356089"/>
    <n v="14072.19"/>
    <x v="1"/>
  </r>
  <r>
    <n v="846"/>
    <n v="3283"/>
    <x v="1"/>
    <x v="1"/>
    <n v="42197"/>
    <n v="2"/>
    <n v="84394"/>
    <x v="46"/>
    <x v="3"/>
    <x v="0"/>
    <s v="Cancelled"/>
    <n v="2.8"/>
    <n v="0.24843022015783114"/>
    <n v="4352.18"/>
    <x v="0"/>
  </r>
  <r>
    <n v="847"/>
    <n v="9497"/>
    <x v="3"/>
    <x v="1"/>
    <n v="48486"/>
    <n v="5"/>
    <n v="242430"/>
    <x v="25"/>
    <x v="2"/>
    <x v="4"/>
    <s v="Cancelled"/>
    <n v="4.4000000000000004"/>
    <n v="0.11634162438642083"/>
    <n v="44524.3"/>
    <x v="0"/>
  </r>
  <r>
    <n v="848"/>
    <n v="6746"/>
    <x v="3"/>
    <x v="1"/>
    <n v="36472"/>
    <n v="4"/>
    <n v="145888"/>
    <x v="120"/>
    <x v="2"/>
    <x v="1"/>
    <s v="Delivered"/>
    <n v="2.7"/>
    <n v="0.11056817558675149"/>
    <n v="27635.83"/>
    <x v="1"/>
  </r>
  <r>
    <n v="849"/>
    <n v="5670"/>
    <x v="3"/>
    <x v="2"/>
    <n v="13352"/>
    <n v="3"/>
    <n v="40056"/>
    <x v="336"/>
    <x v="1"/>
    <x v="3"/>
    <s v="Delivered"/>
    <n v="2.2999999999999998"/>
    <n v="0.14410000998601957"/>
    <n v="6244.73"/>
    <x v="0"/>
  </r>
  <r>
    <n v="850"/>
    <n v="1413"/>
    <x v="4"/>
    <x v="1"/>
    <n v="8696"/>
    <n v="1"/>
    <n v="8696"/>
    <x v="265"/>
    <x v="3"/>
    <x v="2"/>
    <s v="Pending"/>
    <n v="1.2"/>
    <n v="0.27891559337626493"/>
    <n v="183.35"/>
    <x v="0"/>
  </r>
  <r>
    <n v="851"/>
    <n v="9805"/>
    <x v="4"/>
    <x v="0"/>
    <n v="34821"/>
    <n v="3"/>
    <n v="104463"/>
    <x v="24"/>
    <x v="2"/>
    <x v="1"/>
    <s v="Delivered"/>
    <n v="2.6"/>
    <n v="0.15254807922422292"/>
    <n v="15403.27"/>
    <x v="0"/>
  </r>
  <r>
    <n v="852"/>
    <n v="9456"/>
    <x v="0"/>
    <x v="2"/>
    <n v="41727"/>
    <n v="5"/>
    <n v="208635"/>
    <x v="310"/>
    <x v="2"/>
    <x v="3"/>
    <s v="Pending"/>
    <n v="2.9"/>
    <n v="0.25126982529297576"/>
    <n v="10166.82"/>
    <x v="1"/>
  </r>
  <r>
    <n v="853"/>
    <n v="6404"/>
    <x v="5"/>
    <x v="0"/>
    <n v="43567"/>
    <n v="2"/>
    <n v="87134"/>
    <x v="286"/>
    <x v="1"/>
    <x v="3"/>
    <s v="Delivered"/>
    <n v="1.2"/>
    <n v="0.18926136754883283"/>
    <n v="9649.1"/>
    <x v="1"/>
  </r>
  <r>
    <n v="854"/>
    <n v="3553"/>
    <x v="2"/>
    <x v="2"/>
    <n v="21463"/>
    <n v="2"/>
    <n v="42926"/>
    <x v="334"/>
    <x v="0"/>
    <x v="4"/>
    <s v="Delivered"/>
    <n v="4.8"/>
    <n v="0.27610166332758701"/>
    <n v="1025.8599999999999"/>
    <x v="1"/>
  </r>
  <r>
    <n v="855"/>
    <n v="1556"/>
    <x v="1"/>
    <x v="1"/>
    <n v="26905"/>
    <n v="1"/>
    <n v="26905"/>
    <x v="267"/>
    <x v="0"/>
    <x v="3"/>
    <s v="Delivered"/>
    <n v="1"/>
    <n v="0.1384883850585393"/>
    <n v="4345.47"/>
    <x v="1"/>
  </r>
  <r>
    <n v="856"/>
    <n v="3854"/>
    <x v="2"/>
    <x v="1"/>
    <n v="12556"/>
    <n v="5"/>
    <n v="62780"/>
    <x v="65"/>
    <x v="0"/>
    <x v="3"/>
    <s v="Delivered"/>
    <n v="1.3"/>
    <n v="0.2279358075820325"/>
    <n v="4524.1899999999996"/>
    <x v="0"/>
  </r>
  <r>
    <n v="857"/>
    <n v="3300"/>
    <x v="0"/>
    <x v="0"/>
    <n v="29594"/>
    <n v="5"/>
    <n v="147970"/>
    <x v="192"/>
    <x v="0"/>
    <x v="0"/>
    <s v="Delivered"/>
    <n v="3.7"/>
    <n v="5.1027100087855645E-2"/>
    <n v="36840.519999999997"/>
    <x v="1"/>
  </r>
  <r>
    <n v="858"/>
    <n v="9909"/>
    <x v="5"/>
    <x v="2"/>
    <n v="24569"/>
    <n v="5"/>
    <n v="122845"/>
    <x v="184"/>
    <x v="2"/>
    <x v="4"/>
    <s v="Pending"/>
    <n v="2.4"/>
    <n v="5.1301314664821518E-2"/>
    <n v="30551.39"/>
    <x v="1"/>
  </r>
  <r>
    <n v="859"/>
    <n v="7081"/>
    <x v="5"/>
    <x v="0"/>
    <n v="38707"/>
    <n v="1"/>
    <n v="38707"/>
    <x v="162"/>
    <x v="3"/>
    <x v="0"/>
    <s v="Cancelled"/>
    <n v="2.6"/>
    <n v="0.19196476089596198"/>
    <n v="4181.72"/>
    <x v="0"/>
  </r>
  <r>
    <n v="860"/>
    <n v="8455"/>
    <x v="4"/>
    <x v="0"/>
    <n v="40933"/>
    <n v="5"/>
    <n v="204665"/>
    <x v="40"/>
    <x v="2"/>
    <x v="3"/>
    <s v="Delivered"/>
    <n v="4.3"/>
    <n v="0.27509452031368337"/>
    <n v="5097.28"/>
    <x v="1"/>
  </r>
  <r>
    <n v="861"/>
    <n v="6879"/>
    <x v="2"/>
    <x v="2"/>
    <n v="45491"/>
    <n v="1"/>
    <n v="45491"/>
    <x v="260"/>
    <x v="0"/>
    <x v="0"/>
    <s v="Cancelled"/>
    <n v="3.8"/>
    <n v="0.11045305664856785"/>
    <n v="8622.68"/>
    <x v="1"/>
  </r>
  <r>
    <n v="862"/>
    <n v="8027"/>
    <x v="2"/>
    <x v="1"/>
    <n v="45114"/>
    <n v="3"/>
    <n v="135342"/>
    <x v="174"/>
    <x v="2"/>
    <x v="4"/>
    <s v="Delivered"/>
    <n v="2.5"/>
    <n v="7.5198681857812061E-2"/>
    <n v="30425.06"/>
    <x v="1"/>
  </r>
  <r>
    <n v="863"/>
    <n v="2548"/>
    <x v="1"/>
    <x v="2"/>
    <n v="1896"/>
    <n v="1"/>
    <n v="1896"/>
    <x v="104"/>
    <x v="1"/>
    <x v="2"/>
    <s v="Cancelled"/>
    <n v="1.5"/>
    <n v="0.19523734177215191"/>
    <n v="198.63"/>
    <x v="0"/>
  </r>
  <r>
    <n v="864"/>
    <n v="9599"/>
    <x v="5"/>
    <x v="0"/>
    <n v="32492"/>
    <n v="3"/>
    <n v="97476"/>
    <x v="333"/>
    <x v="2"/>
    <x v="3"/>
    <s v="Delivered"/>
    <n v="1.6"/>
    <n v="7.1202449833805248E-2"/>
    <n v="22302.27"/>
    <x v="1"/>
  </r>
  <r>
    <n v="865"/>
    <n v="2107"/>
    <x v="2"/>
    <x v="0"/>
    <n v="34100"/>
    <n v="1"/>
    <n v="34100"/>
    <x v="202"/>
    <x v="1"/>
    <x v="0"/>
    <s v="Cancelled"/>
    <n v="3.3"/>
    <n v="6.2865982404692086E-2"/>
    <n v="8086.27"/>
    <x v="1"/>
  </r>
  <r>
    <n v="866"/>
    <n v="9581"/>
    <x v="4"/>
    <x v="2"/>
    <n v="29500"/>
    <n v="5"/>
    <n v="147500"/>
    <x v="28"/>
    <x v="3"/>
    <x v="4"/>
    <s v="Delivered"/>
    <n v="1.2"/>
    <n v="0.13022135593220341"/>
    <n v="25042.35"/>
    <x v="0"/>
  </r>
  <r>
    <n v="867"/>
    <n v="2412"/>
    <x v="3"/>
    <x v="0"/>
    <n v="1809"/>
    <n v="4"/>
    <n v="7236"/>
    <x v="46"/>
    <x v="1"/>
    <x v="3"/>
    <s v="Pending"/>
    <n v="2.4"/>
    <n v="0.19588999447208402"/>
    <n v="753.34"/>
    <x v="1"/>
  </r>
  <r>
    <n v="868"/>
    <n v="3407"/>
    <x v="5"/>
    <x v="2"/>
    <n v="34568"/>
    <n v="5"/>
    <n v="172840"/>
    <x v="156"/>
    <x v="3"/>
    <x v="1"/>
    <s v="Pending"/>
    <n v="4.4000000000000004"/>
    <n v="0.10622193936588753"/>
    <n v="33492.6"/>
    <x v="0"/>
  </r>
  <r>
    <n v="869"/>
    <n v="3480"/>
    <x v="1"/>
    <x v="1"/>
    <n v="34605"/>
    <n v="4"/>
    <n v="138420"/>
    <x v="270"/>
    <x v="3"/>
    <x v="4"/>
    <s v="Pending"/>
    <n v="3"/>
    <n v="0.29183015460193612"/>
    <n v="1130.8699999999999"/>
    <x v="0"/>
  </r>
  <r>
    <n v="870"/>
    <n v="1859"/>
    <x v="0"/>
    <x v="2"/>
    <n v="31345"/>
    <n v="1"/>
    <n v="31345"/>
    <x v="274"/>
    <x v="0"/>
    <x v="2"/>
    <s v="Pending"/>
    <n v="1.8"/>
    <n v="0.13324613175945127"/>
    <n v="5226.8999999999996"/>
    <x v="1"/>
  </r>
  <r>
    <n v="871"/>
    <n v="7913"/>
    <x v="4"/>
    <x v="1"/>
    <n v="46377"/>
    <n v="1"/>
    <n v="46377"/>
    <x v="221"/>
    <x v="1"/>
    <x v="2"/>
    <s v="Delivered"/>
    <n v="1.9"/>
    <n v="0.17309571554865558"/>
    <n v="5885.44"/>
    <x v="0"/>
  </r>
  <r>
    <n v="872"/>
    <n v="8512"/>
    <x v="4"/>
    <x v="1"/>
    <n v="48709"/>
    <n v="4"/>
    <n v="194836"/>
    <x v="48"/>
    <x v="1"/>
    <x v="2"/>
    <s v="Pending"/>
    <n v="4.0999999999999996"/>
    <n v="0.12551648565973433"/>
    <n v="33995.67"/>
    <x v="1"/>
  </r>
  <r>
    <n v="873"/>
    <n v="7473"/>
    <x v="5"/>
    <x v="1"/>
    <n v="11258"/>
    <n v="1"/>
    <n v="11258"/>
    <x v="136"/>
    <x v="3"/>
    <x v="3"/>
    <s v="Delivered"/>
    <n v="2.1"/>
    <n v="0.12551874222774914"/>
    <n v="1964.31"/>
    <x v="1"/>
  </r>
  <r>
    <n v="874"/>
    <n v="3528"/>
    <x v="1"/>
    <x v="2"/>
    <n v="32386"/>
    <n v="5"/>
    <n v="161930"/>
    <x v="321"/>
    <x v="0"/>
    <x v="0"/>
    <s v="Delivered"/>
    <n v="2.8"/>
    <n v="0.25147841659976533"/>
    <n v="7857.1"/>
    <x v="1"/>
  </r>
  <r>
    <n v="875"/>
    <n v="2312"/>
    <x v="4"/>
    <x v="2"/>
    <n v="42762"/>
    <n v="5"/>
    <n v="213810"/>
    <x v="85"/>
    <x v="0"/>
    <x v="3"/>
    <s v="Delivered"/>
    <n v="1.9"/>
    <n v="7.0873064870679583E-2"/>
    <n v="48989.63"/>
    <x v="0"/>
  </r>
  <r>
    <n v="876"/>
    <n v="9609"/>
    <x v="5"/>
    <x v="2"/>
    <n v="1303"/>
    <n v="5"/>
    <n v="6515"/>
    <x v="33"/>
    <x v="0"/>
    <x v="0"/>
    <s v="Delivered"/>
    <n v="3.2"/>
    <n v="0.12823177283192633"/>
    <n v="1119.07"/>
    <x v="0"/>
  </r>
  <r>
    <n v="877"/>
    <n v="9917"/>
    <x v="5"/>
    <x v="0"/>
    <n v="16129"/>
    <n v="5"/>
    <n v="80645"/>
    <x v="293"/>
    <x v="1"/>
    <x v="4"/>
    <s v="Cancelled"/>
    <n v="4.5999999999999996"/>
    <n v="0.19442519685039369"/>
    <n v="8514.08"/>
    <x v="1"/>
  </r>
  <r>
    <n v="878"/>
    <n v="5312"/>
    <x v="5"/>
    <x v="2"/>
    <n v="15445"/>
    <n v="1"/>
    <n v="15445"/>
    <x v="129"/>
    <x v="1"/>
    <x v="1"/>
    <s v="Cancelled"/>
    <n v="3.8"/>
    <n v="0.1332113952735513"/>
    <n v="2576.0500000000002"/>
    <x v="0"/>
  </r>
  <r>
    <n v="879"/>
    <n v="1134"/>
    <x v="0"/>
    <x v="1"/>
    <n v="10344"/>
    <n v="5"/>
    <n v="51720"/>
    <x v="102"/>
    <x v="3"/>
    <x v="4"/>
    <s v="Cancelled"/>
    <n v="1.5"/>
    <n v="0.23110808197989172"/>
    <n v="3563.09"/>
    <x v="1"/>
  </r>
  <r>
    <n v="880"/>
    <n v="9003"/>
    <x v="4"/>
    <x v="2"/>
    <n v="9723"/>
    <n v="1"/>
    <n v="9723"/>
    <x v="17"/>
    <x v="2"/>
    <x v="2"/>
    <s v="Cancelled"/>
    <n v="2.2000000000000002"/>
    <n v="0.2720796050601666"/>
    <n v="271.47000000000003"/>
    <x v="0"/>
  </r>
  <r>
    <n v="881"/>
    <n v="1887"/>
    <x v="1"/>
    <x v="1"/>
    <n v="41626"/>
    <n v="3"/>
    <n v="124878"/>
    <x v="101"/>
    <x v="0"/>
    <x v="3"/>
    <s v="Delivered"/>
    <n v="3"/>
    <n v="0.15159868031198451"/>
    <n v="18532.060000000001"/>
    <x v="1"/>
  </r>
  <r>
    <n v="882"/>
    <n v="6037"/>
    <x v="5"/>
    <x v="0"/>
    <n v="12386"/>
    <n v="2"/>
    <n v="24772"/>
    <x v="139"/>
    <x v="3"/>
    <x v="1"/>
    <s v="Delivered"/>
    <n v="3.5"/>
    <n v="0.13731067334086872"/>
    <n v="4030.14"/>
    <x v="1"/>
  </r>
  <r>
    <n v="883"/>
    <n v="7689"/>
    <x v="2"/>
    <x v="2"/>
    <n v="10175"/>
    <n v="3"/>
    <n v="30525"/>
    <x v="195"/>
    <x v="2"/>
    <x v="1"/>
    <s v="Pending"/>
    <n v="5"/>
    <n v="0.23621916461916462"/>
    <n v="1946.91"/>
    <x v="1"/>
  </r>
  <r>
    <n v="884"/>
    <n v="2504"/>
    <x v="5"/>
    <x v="1"/>
    <n v="36772"/>
    <n v="2"/>
    <n v="73544"/>
    <x v="139"/>
    <x v="2"/>
    <x v="1"/>
    <s v="Pending"/>
    <n v="4.5"/>
    <n v="0.29012931034482758"/>
    <n v="725.93"/>
    <x v="0"/>
  </r>
  <r>
    <n v="885"/>
    <n v="5521"/>
    <x v="2"/>
    <x v="0"/>
    <n v="42631"/>
    <n v="1"/>
    <n v="42631"/>
    <x v="131"/>
    <x v="2"/>
    <x v="4"/>
    <s v="Cancelled"/>
    <n v="2.1"/>
    <n v="0.15351434402195585"/>
    <n v="6244.83"/>
    <x v="0"/>
  </r>
  <r>
    <n v="886"/>
    <n v="6478"/>
    <x v="4"/>
    <x v="2"/>
    <n v="41091"/>
    <n v="3"/>
    <n v="123273"/>
    <x v="77"/>
    <x v="0"/>
    <x v="3"/>
    <s v="Pending"/>
    <n v="1.4"/>
    <n v="0.27758365578837213"/>
    <n v="2763.33"/>
    <x v="0"/>
  </r>
  <r>
    <n v="887"/>
    <n v="6866"/>
    <x v="1"/>
    <x v="0"/>
    <n v="44353"/>
    <n v="4"/>
    <n v="177412"/>
    <x v="320"/>
    <x v="1"/>
    <x v="2"/>
    <s v="Cancelled"/>
    <n v="2.7"/>
    <n v="5.0928065745270895E-2"/>
    <n v="44188.35"/>
    <x v="0"/>
  </r>
  <r>
    <n v="888"/>
    <n v="5574"/>
    <x v="5"/>
    <x v="1"/>
    <n v="29837"/>
    <n v="4"/>
    <n v="119348"/>
    <x v="144"/>
    <x v="2"/>
    <x v="4"/>
    <s v="Cancelled"/>
    <n v="2.6"/>
    <n v="0.11203279485202935"/>
    <n v="22433.51"/>
    <x v="0"/>
  </r>
  <r>
    <n v="889"/>
    <n v="1867"/>
    <x v="4"/>
    <x v="2"/>
    <n v="22700"/>
    <n v="5"/>
    <n v="113500"/>
    <x v="29"/>
    <x v="2"/>
    <x v="0"/>
    <s v="Delivered"/>
    <n v="1.7"/>
    <n v="0.10904748898678414"/>
    <n v="21673.11"/>
    <x v="1"/>
  </r>
  <r>
    <n v="890"/>
    <n v="8739"/>
    <x v="1"/>
    <x v="1"/>
    <n v="47482"/>
    <n v="3"/>
    <n v="142446"/>
    <x v="0"/>
    <x v="2"/>
    <x v="0"/>
    <s v="Pending"/>
    <n v="4.9000000000000004"/>
    <n v="5.4928253513612177E-2"/>
    <n v="34909.49"/>
    <x v="0"/>
  </r>
  <r>
    <n v="891"/>
    <n v="9381"/>
    <x v="2"/>
    <x v="0"/>
    <n v="10506"/>
    <n v="1"/>
    <n v="10506"/>
    <x v="9"/>
    <x v="2"/>
    <x v="1"/>
    <s v="Cancelled"/>
    <n v="1.2"/>
    <n v="0.20391300209404151"/>
    <n v="1009.49"/>
    <x v="1"/>
  </r>
  <r>
    <n v="892"/>
    <n v="1168"/>
    <x v="5"/>
    <x v="2"/>
    <n v="26867"/>
    <n v="5"/>
    <n v="134335"/>
    <x v="7"/>
    <x v="3"/>
    <x v="4"/>
    <s v="Cancelled"/>
    <n v="2.1"/>
    <n v="0.24664130717981164"/>
    <n v="7167.94"/>
    <x v="1"/>
  </r>
  <r>
    <n v="893"/>
    <n v="2800"/>
    <x v="4"/>
    <x v="0"/>
    <n v="38612"/>
    <n v="1"/>
    <n v="38612"/>
    <x v="314"/>
    <x v="1"/>
    <x v="0"/>
    <s v="Pending"/>
    <n v="4.5"/>
    <n v="9.3957577955039881E-2"/>
    <n v="7955.71"/>
    <x v="1"/>
  </r>
  <r>
    <n v="894"/>
    <n v="3324"/>
    <x v="2"/>
    <x v="1"/>
    <n v="18339"/>
    <n v="2"/>
    <n v="36678"/>
    <x v="337"/>
    <x v="3"/>
    <x v="4"/>
    <s v="Delivered"/>
    <n v="4.3"/>
    <n v="7.2824581492993076E-2"/>
    <n v="8332.34"/>
    <x v="1"/>
  </r>
  <r>
    <n v="895"/>
    <n v="7086"/>
    <x v="0"/>
    <x v="2"/>
    <n v="25102"/>
    <n v="1"/>
    <n v="25102"/>
    <x v="193"/>
    <x v="0"/>
    <x v="2"/>
    <s v="Delivered"/>
    <n v="2.9"/>
    <n v="0.18687395426659228"/>
    <n v="2839.69"/>
    <x v="1"/>
  </r>
  <r>
    <n v="896"/>
    <n v="4929"/>
    <x v="3"/>
    <x v="2"/>
    <n v="34847"/>
    <n v="2"/>
    <n v="69694"/>
    <x v="25"/>
    <x v="2"/>
    <x v="3"/>
    <s v="Pending"/>
    <n v="2.5"/>
    <n v="0.23753235572646142"/>
    <n v="4353.62"/>
    <x v="1"/>
  </r>
  <r>
    <n v="897"/>
    <n v="9762"/>
    <x v="0"/>
    <x v="1"/>
    <n v="19212"/>
    <n v="1"/>
    <n v="19212"/>
    <x v="210"/>
    <x v="3"/>
    <x v="4"/>
    <s v="Cancelled"/>
    <n v="3.5"/>
    <n v="8.2410472621278361E-2"/>
    <n v="4180.33"/>
    <x v="0"/>
  </r>
  <r>
    <n v="898"/>
    <n v="5837"/>
    <x v="1"/>
    <x v="2"/>
    <n v="15645"/>
    <n v="1"/>
    <n v="15645"/>
    <x v="61"/>
    <x v="2"/>
    <x v="2"/>
    <s v="Cancelled"/>
    <n v="2.2000000000000002"/>
    <n v="0.26480600830936402"/>
    <n v="550.61"/>
    <x v="0"/>
  </r>
  <r>
    <n v="899"/>
    <n v="7627"/>
    <x v="1"/>
    <x v="1"/>
    <n v="24227"/>
    <n v="4"/>
    <n v="96908"/>
    <x v="110"/>
    <x v="0"/>
    <x v="3"/>
    <s v="Delivered"/>
    <n v="2.8"/>
    <n v="0.2826418871506996"/>
    <n v="1682.14"/>
    <x v="1"/>
  </r>
  <r>
    <n v="900"/>
    <n v="8201"/>
    <x v="1"/>
    <x v="2"/>
    <n v="9130"/>
    <n v="3"/>
    <n v="27390"/>
    <x v="95"/>
    <x v="3"/>
    <x v="1"/>
    <s v="Pending"/>
    <n v="2.5"/>
    <n v="0.18849872216137276"/>
    <n v="3054.02"/>
    <x v="1"/>
  </r>
  <r>
    <n v="901"/>
    <n v="4208"/>
    <x v="5"/>
    <x v="2"/>
    <n v="35856"/>
    <n v="3"/>
    <n v="107568"/>
    <x v="172"/>
    <x v="2"/>
    <x v="2"/>
    <s v="Delivered"/>
    <n v="3.6"/>
    <n v="0.25744347761416037"/>
    <n v="4577.72"/>
    <x v="1"/>
  </r>
  <r>
    <n v="902"/>
    <n v="8498"/>
    <x v="0"/>
    <x v="0"/>
    <n v="46386"/>
    <n v="3"/>
    <n v="139158"/>
    <x v="183"/>
    <x v="1"/>
    <x v="4"/>
    <s v="Delivered"/>
    <n v="4.4000000000000004"/>
    <n v="0.21702611420112389"/>
    <n v="11546.48"/>
    <x v="0"/>
  </r>
  <r>
    <n v="903"/>
    <n v="1167"/>
    <x v="2"/>
    <x v="1"/>
    <n v="9991"/>
    <n v="3"/>
    <n v="29973"/>
    <x v="109"/>
    <x v="1"/>
    <x v="4"/>
    <s v="Cancelled"/>
    <n v="3.2"/>
    <n v="0.23545924665532314"/>
    <n v="1934.48"/>
    <x v="0"/>
  </r>
  <r>
    <n v="904"/>
    <n v="3240"/>
    <x v="0"/>
    <x v="1"/>
    <n v="36430"/>
    <n v="4"/>
    <n v="145720"/>
    <x v="318"/>
    <x v="3"/>
    <x v="2"/>
    <s v="Cancelled"/>
    <n v="1.6"/>
    <n v="0.26040337633818283"/>
    <n v="5770.02"/>
    <x v="0"/>
  </r>
  <r>
    <n v="905"/>
    <n v="3081"/>
    <x v="0"/>
    <x v="0"/>
    <n v="26921"/>
    <n v="4"/>
    <n v="107684"/>
    <x v="197"/>
    <x v="0"/>
    <x v="3"/>
    <s v="Pending"/>
    <n v="3.6"/>
    <n v="0.23316602280747373"/>
    <n v="7196.95"/>
    <x v="1"/>
  </r>
  <r>
    <n v="906"/>
    <n v="9881"/>
    <x v="3"/>
    <x v="0"/>
    <n v="19520"/>
    <n v="2"/>
    <n v="39040"/>
    <x v="316"/>
    <x v="3"/>
    <x v="3"/>
    <s v="Pending"/>
    <n v="4.3"/>
    <n v="0.27651357581967212"/>
    <n v="916.91"/>
    <x v="1"/>
  </r>
  <r>
    <n v="907"/>
    <n v="4042"/>
    <x v="4"/>
    <x v="1"/>
    <n v="11055"/>
    <n v="5"/>
    <n v="55275"/>
    <x v="130"/>
    <x v="1"/>
    <x v="0"/>
    <s v="Pending"/>
    <n v="4.5"/>
    <n v="0.10784748982360924"/>
    <n v="10621.23"/>
    <x v="1"/>
  </r>
  <r>
    <n v="908"/>
    <n v="3851"/>
    <x v="5"/>
    <x v="0"/>
    <n v="44780"/>
    <n v="2"/>
    <n v="89560"/>
    <x v="44"/>
    <x v="2"/>
    <x v="2"/>
    <s v="Delivered"/>
    <n v="2.8"/>
    <n v="0.27966268423403307"/>
    <n v="1821.41"/>
    <x v="1"/>
  </r>
  <r>
    <n v="909"/>
    <n v="5304"/>
    <x v="3"/>
    <x v="2"/>
    <n v="44821"/>
    <n v="5"/>
    <n v="224105"/>
    <x v="97"/>
    <x v="3"/>
    <x v="4"/>
    <s v="Pending"/>
    <n v="1.7"/>
    <n v="7.0579148167153785E-2"/>
    <n v="51414.36"/>
    <x v="1"/>
  </r>
  <r>
    <n v="910"/>
    <n v="2934"/>
    <x v="1"/>
    <x v="2"/>
    <n v="43877"/>
    <n v="3"/>
    <n v="131631"/>
    <x v="201"/>
    <x v="2"/>
    <x v="3"/>
    <s v="Pending"/>
    <n v="4.5999999999999996"/>
    <n v="0.2267469668998944"/>
    <n v="9642.3700000000008"/>
    <x v="1"/>
  </r>
  <r>
    <n v="911"/>
    <n v="2594"/>
    <x v="4"/>
    <x v="0"/>
    <n v="17680"/>
    <n v="3"/>
    <n v="53040"/>
    <x v="240"/>
    <x v="3"/>
    <x v="2"/>
    <s v="Delivered"/>
    <n v="4"/>
    <n v="0.2079653092006033"/>
    <n v="4881.5200000000004"/>
    <x v="0"/>
  </r>
  <r>
    <n v="912"/>
    <n v="9704"/>
    <x v="2"/>
    <x v="1"/>
    <n v="23516"/>
    <n v="5"/>
    <n v="117580"/>
    <x v="127"/>
    <x v="0"/>
    <x v="2"/>
    <s v="Cancelled"/>
    <n v="1.6"/>
    <n v="0.24792371151556386"/>
    <n v="6123.13"/>
    <x v="1"/>
  </r>
  <r>
    <n v="913"/>
    <n v="6349"/>
    <x v="0"/>
    <x v="1"/>
    <n v="33134"/>
    <n v="3"/>
    <n v="99402"/>
    <x v="90"/>
    <x v="1"/>
    <x v="0"/>
    <s v="Cancelled"/>
    <n v="3.4"/>
    <n v="5.5136717571075029E-2"/>
    <n v="24339.9"/>
    <x v="0"/>
  </r>
  <r>
    <n v="914"/>
    <n v="9038"/>
    <x v="4"/>
    <x v="1"/>
    <n v="31747"/>
    <n v="3"/>
    <n v="95241"/>
    <x v="95"/>
    <x v="3"/>
    <x v="0"/>
    <s v="Cancelled"/>
    <n v="2.4"/>
    <n v="0.2213723081446016"/>
    <n v="7488.58"/>
    <x v="0"/>
  </r>
  <r>
    <n v="915"/>
    <n v="2068"/>
    <x v="5"/>
    <x v="0"/>
    <n v="2883"/>
    <n v="4"/>
    <n v="11532"/>
    <x v="35"/>
    <x v="3"/>
    <x v="1"/>
    <s v="Cancelled"/>
    <n v="1.3"/>
    <n v="0.17446670135275755"/>
    <n v="1447.65"/>
    <x v="0"/>
  </r>
  <r>
    <n v="916"/>
    <n v="2727"/>
    <x v="3"/>
    <x v="2"/>
    <n v="40733"/>
    <n v="5"/>
    <n v="203665"/>
    <x v="338"/>
    <x v="0"/>
    <x v="0"/>
    <s v="Cancelled"/>
    <n v="2.2000000000000002"/>
    <n v="0.10701411631846414"/>
    <n v="39304.47"/>
    <x v="1"/>
  </r>
  <r>
    <n v="917"/>
    <n v="3607"/>
    <x v="0"/>
    <x v="2"/>
    <n v="9277"/>
    <n v="1"/>
    <n v="9277"/>
    <x v="247"/>
    <x v="1"/>
    <x v="0"/>
    <s v="Cancelled"/>
    <n v="4.0999999999999996"/>
    <n v="9.0561603966799617E-2"/>
    <n v="1942.96"/>
    <x v="0"/>
  </r>
  <r>
    <n v="918"/>
    <n v="2426"/>
    <x v="1"/>
    <x v="0"/>
    <n v="44018"/>
    <n v="3"/>
    <n v="132054"/>
    <x v="228"/>
    <x v="1"/>
    <x v="1"/>
    <s v="Cancelled"/>
    <n v="3"/>
    <n v="0.19852113529313764"/>
    <n v="13400.69"/>
    <x v="1"/>
  </r>
  <r>
    <n v="919"/>
    <n v="2162"/>
    <x v="4"/>
    <x v="0"/>
    <n v="8001"/>
    <n v="4"/>
    <n v="32004"/>
    <x v="31"/>
    <x v="1"/>
    <x v="1"/>
    <s v="Delivered"/>
    <n v="2.9"/>
    <n v="5.4623172103487064E-2"/>
    <n v="7853.04"/>
    <x v="0"/>
  </r>
  <r>
    <n v="920"/>
    <n v="1306"/>
    <x v="5"/>
    <x v="2"/>
    <n v="39608"/>
    <n v="3"/>
    <n v="118824"/>
    <x v="211"/>
    <x v="0"/>
    <x v="1"/>
    <s v="Pending"/>
    <n v="3.5"/>
    <n v="0.25093213492223793"/>
    <n v="5830.44"/>
    <x v="0"/>
  </r>
  <r>
    <n v="921"/>
    <n v="3403"/>
    <x v="5"/>
    <x v="2"/>
    <n v="25385"/>
    <n v="5"/>
    <n v="126925"/>
    <x v="205"/>
    <x v="3"/>
    <x v="3"/>
    <s v="Cancelled"/>
    <n v="4.5"/>
    <n v="0.13279023045105379"/>
    <n v="21223.1"/>
    <x v="1"/>
  </r>
  <r>
    <n v="922"/>
    <n v="9628"/>
    <x v="4"/>
    <x v="1"/>
    <n v="9539"/>
    <n v="5"/>
    <n v="47695"/>
    <x v="113"/>
    <x v="3"/>
    <x v="4"/>
    <s v="Cancelled"/>
    <n v="3.1"/>
    <n v="6.6423105147290079E-2"/>
    <n v="11140.45"/>
    <x v="0"/>
  </r>
  <r>
    <n v="923"/>
    <n v="2209"/>
    <x v="1"/>
    <x v="2"/>
    <n v="49118"/>
    <n v="5"/>
    <n v="245590"/>
    <x v="276"/>
    <x v="1"/>
    <x v="0"/>
    <s v="Delivered"/>
    <n v="4"/>
    <n v="0.13891200781790791"/>
    <n v="39561.599999999999"/>
    <x v="1"/>
  </r>
  <r>
    <n v="924"/>
    <n v="3735"/>
    <x v="5"/>
    <x v="2"/>
    <n v="1038"/>
    <n v="4"/>
    <n v="4152"/>
    <x v="199"/>
    <x v="0"/>
    <x v="1"/>
    <s v="Pending"/>
    <n v="4.0999999999999996"/>
    <n v="0.28467726396917148"/>
    <n v="63.62"/>
    <x v="0"/>
  </r>
  <r>
    <n v="925"/>
    <n v="5243"/>
    <x v="2"/>
    <x v="2"/>
    <n v="31234"/>
    <n v="2"/>
    <n v="62468"/>
    <x v="286"/>
    <x v="2"/>
    <x v="0"/>
    <s v="Delivered"/>
    <n v="3"/>
    <n v="0.19190033297048087"/>
    <n v="6752.77"/>
    <x v="1"/>
  </r>
  <r>
    <n v="926"/>
    <n v="8146"/>
    <x v="5"/>
    <x v="1"/>
    <n v="14599"/>
    <n v="3"/>
    <n v="43797"/>
    <x v="9"/>
    <x v="1"/>
    <x v="3"/>
    <s v="Cancelled"/>
    <n v="4.8"/>
    <n v="0.29645660661689155"/>
    <n v="155.19"/>
    <x v="1"/>
  </r>
  <r>
    <n v="927"/>
    <n v="7408"/>
    <x v="5"/>
    <x v="0"/>
    <n v="13060"/>
    <n v="1"/>
    <n v="13060"/>
    <x v="234"/>
    <x v="2"/>
    <x v="2"/>
    <s v="Pending"/>
    <n v="4.8"/>
    <n v="0.17201761102603372"/>
    <n v="1671.45"/>
    <x v="0"/>
  </r>
  <r>
    <n v="928"/>
    <n v="6353"/>
    <x v="2"/>
    <x v="0"/>
    <n v="44061"/>
    <n v="5"/>
    <n v="220305"/>
    <x v="81"/>
    <x v="3"/>
    <x v="3"/>
    <s v="Delivered"/>
    <n v="4.9000000000000004"/>
    <n v="6.6830212659721749E-2"/>
    <n v="51368.47"/>
    <x v="1"/>
  </r>
  <r>
    <n v="929"/>
    <n v="1248"/>
    <x v="0"/>
    <x v="0"/>
    <n v="24098"/>
    <n v="4"/>
    <n v="96392"/>
    <x v="272"/>
    <x v="3"/>
    <x v="2"/>
    <s v="Delivered"/>
    <n v="1.9"/>
    <n v="0.21508724790439041"/>
    <n v="8184.91"/>
    <x v="0"/>
  </r>
  <r>
    <n v="930"/>
    <n v="2588"/>
    <x v="1"/>
    <x v="2"/>
    <n v="30387"/>
    <n v="4"/>
    <n v="121548"/>
    <x v="106"/>
    <x v="1"/>
    <x v="4"/>
    <s v="Delivered"/>
    <n v="3.3"/>
    <n v="0.16272172310527527"/>
    <n v="16685.900000000001"/>
    <x v="1"/>
  </r>
  <r>
    <n v="931"/>
    <n v="4754"/>
    <x v="0"/>
    <x v="1"/>
    <n v="43896"/>
    <n v="4"/>
    <n v="175584"/>
    <x v="339"/>
    <x v="3"/>
    <x v="1"/>
    <s v="Delivered"/>
    <n v="2.4"/>
    <n v="9.9646949608164753E-2"/>
    <n v="35178.79"/>
    <x v="1"/>
  </r>
  <r>
    <n v="932"/>
    <n v="3521"/>
    <x v="5"/>
    <x v="1"/>
    <n v="48115"/>
    <n v="3"/>
    <n v="144345"/>
    <x v="113"/>
    <x v="3"/>
    <x v="2"/>
    <s v="Cancelled"/>
    <n v="2.9"/>
    <n v="0.12305379472790884"/>
    <n v="25541.3"/>
    <x v="1"/>
  </r>
  <r>
    <n v="933"/>
    <n v="9838"/>
    <x v="0"/>
    <x v="1"/>
    <n v="1462"/>
    <n v="3"/>
    <n v="4386"/>
    <x v="339"/>
    <x v="1"/>
    <x v="4"/>
    <s v="Cancelled"/>
    <n v="3.8"/>
    <n v="0.14286365709074328"/>
    <n v="689.2"/>
    <x v="1"/>
  </r>
  <r>
    <n v="934"/>
    <n v="3947"/>
    <x v="4"/>
    <x v="2"/>
    <n v="38177"/>
    <n v="3"/>
    <n v="114531"/>
    <x v="243"/>
    <x v="0"/>
    <x v="2"/>
    <s v="Pending"/>
    <n v="4.0999999999999996"/>
    <n v="0.13010896613144041"/>
    <n v="19457.79"/>
    <x v="1"/>
  </r>
  <r>
    <n v="935"/>
    <n v="6220"/>
    <x v="2"/>
    <x v="0"/>
    <n v="5871"/>
    <n v="3"/>
    <n v="17613"/>
    <x v="218"/>
    <x v="2"/>
    <x v="0"/>
    <s v="Pending"/>
    <n v="4.5999999999999996"/>
    <n v="0.28002271049792765"/>
    <n v="351.86"/>
    <x v="0"/>
  </r>
  <r>
    <n v="936"/>
    <n v="1442"/>
    <x v="0"/>
    <x v="2"/>
    <n v="2154"/>
    <n v="4"/>
    <n v="8616"/>
    <x v="296"/>
    <x v="1"/>
    <x v="4"/>
    <s v="Pending"/>
    <n v="1.7"/>
    <n v="6.9953574744661101E-2"/>
    <n v="1982.08"/>
    <x v="0"/>
  </r>
  <r>
    <n v="937"/>
    <n v="2284"/>
    <x v="1"/>
    <x v="0"/>
    <n v="2246"/>
    <n v="1"/>
    <n v="2246"/>
    <x v="260"/>
    <x v="2"/>
    <x v="3"/>
    <s v="Pending"/>
    <n v="4.2"/>
    <n v="8.7079252003561897E-2"/>
    <n v="478.22"/>
    <x v="0"/>
  </r>
  <r>
    <n v="938"/>
    <n v="7313"/>
    <x v="2"/>
    <x v="1"/>
    <n v="22004"/>
    <n v="3"/>
    <n v="66012"/>
    <x v="94"/>
    <x v="1"/>
    <x v="3"/>
    <s v="Pending"/>
    <n v="3.6"/>
    <n v="9.3588438465733503E-2"/>
    <n v="13625.64"/>
    <x v="1"/>
  </r>
  <r>
    <n v="939"/>
    <n v="6026"/>
    <x v="2"/>
    <x v="2"/>
    <n v="32051"/>
    <n v="1"/>
    <n v="32051"/>
    <x v="325"/>
    <x v="0"/>
    <x v="0"/>
    <s v="Delivered"/>
    <n v="3.9"/>
    <n v="9.28679292377773E-2"/>
    <n v="6638.79"/>
    <x v="1"/>
  </r>
  <r>
    <n v="940"/>
    <n v="6532"/>
    <x v="0"/>
    <x v="1"/>
    <n v="44454"/>
    <n v="5"/>
    <n v="222270"/>
    <x v="224"/>
    <x v="0"/>
    <x v="0"/>
    <s v="Pending"/>
    <n v="1.1000000000000001"/>
    <n v="0.26150443154721731"/>
    <n v="8556.41"/>
    <x v="0"/>
  </r>
  <r>
    <n v="941"/>
    <n v="9654"/>
    <x v="3"/>
    <x v="0"/>
    <n v="25070"/>
    <n v="4"/>
    <n v="100280"/>
    <x v="292"/>
    <x v="3"/>
    <x v="1"/>
    <s v="Delivered"/>
    <n v="4.5999999999999996"/>
    <n v="0.15478799361786996"/>
    <n v="14561.86"/>
    <x v="0"/>
  </r>
  <r>
    <n v="942"/>
    <n v="3973"/>
    <x v="0"/>
    <x v="0"/>
    <n v="25914"/>
    <n v="1"/>
    <n v="25914"/>
    <x v="316"/>
    <x v="3"/>
    <x v="4"/>
    <s v="Delivered"/>
    <n v="2.7"/>
    <n v="7.491278845411746E-2"/>
    <n v="5832.91"/>
    <x v="0"/>
  </r>
  <r>
    <n v="943"/>
    <n v="9810"/>
    <x v="4"/>
    <x v="2"/>
    <n v="11620"/>
    <n v="5"/>
    <n v="58100"/>
    <x v="125"/>
    <x v="2"/>
    <x v="2"/>
    <s v="Pending"/>
    <n v="1.9"/>
    <n v="0.27169793459552494"/>
    <n v="1644.35"/>
    <x v="1"/>
  </r>
  <r>
    <n v="944"/>
    <n v="7789"/>
    <x v="3"/>
    <x v="1"/>
    <n v="8685"/>
    <n v="2"/>
    <n v="17370"/>
    <x v="64"/>
    <x v="2"/>
    <x v="1"/>
    <s v="Pending"/>
    <n v="3.1"/>
    <n v="0.12162982153137594"/>
    <n v="3098.29"/>
    <x v="0"/>
  </r>
  <r>
    <n v="945"/>
    <n v="4701"/>
    <x v="3"/>
    <x v="0"/>
    <n v="32704"/>
    <n v="2"/>
    <n v="65408"/>
    <x v="105"/>
    <x v="1"/>
    <x v="0"/>
    <s v="Pending"/>
    <n v="1.9"/>
    <n v="0.21696245107632095"/>
    <n v="5431.32"/>
    <x v="0"/>
  </r>
  <r>
    <n v="946"/>
    <n v="1242"/>
    <x v="3"/>
    <x v="0"/>
    <n v="7185"/>
    <n v="2"/>
    <n v="14370"/>
    <x v="208"/>
    <x v="1"/>
    <x v="1"/>
    <s v="Delivered"/>
    <n v="4.5999999999999996"/>
    <n v="0.12172372999304107"/>
    <n v="2561.83"/>
    <x v="0"/>
  </r>
  <r>
    <n v="947"/>
    <n v="4271"/>
    <x v="0"/>
    <x v="0"/>
    <n v="15836"/>
    <n v="1"/>
    <n v="15836"/>
    <x v="328"/>
    <x v="1"/>
    <x v="2"/>
    <s v="Cancelled"/>
    <n v="2.5"/>
    <n v="9.7087016923465524E-2"/>
    <n v="3213.33"/>
    <x v="1"/>
  </r>
  <r>
    <n v="948"/>
    <n v="3454"/>
    <x v="1"/>
    <x v="2"/>
    <n v="25080"/>
    <n v="5"/>
    <n v="125400"/>
    <x v="16"/>
    <x v="0"/>
    <x v="1"/>
    <s v="Cancelled"/>
    <n v="4"/>
    <n v="0.13634066985645932"/>
    <n v="20522.88"/>
    <x v="0"/>
  </r>
  <r>
    <n v="949"/>
    <n v="2738"/>
    <x v="2"/>
    <x v="1"/>
    <n v="14536"/>
    <n v="5"/>
    <n v="72680"/>
    <x v="0"/>
    <x v="3"/>
    <x v="4"/>
    <s v="Pending"/>
    <n v="1.7"/>
    <n v="0.24646463951568517"/>
    <n v="3890.95"/>
    <x v="1"/>
  </r>
  <r>
    <n v="950"/>
    <n v="4847"/>
    <x v="4"/>
    <x v="0"/>
    <n v="7813"/>
    <n v="5"/>
    <n v="39065"/>
    <x v="130"/>
    <x v="1"/>
    <x v="1"/>
    <s v="Cancelled"/>
    <n v="4.4000000000000004"/>
    <n v="0.11434276206322795"/>
    <n v="7252.7"/>
    <x v="1"/>
  </r>
  <r>
    <n v="951"/>
    <n v="5192"/>
    <x v="2"/>
    <x v="0"/>
    <n v="25277"/>
    <n v="2"/>
    <n v="50554"/>
    <x v="12"/>
    <x v="0"/>
    <x v="2"/>
    <s v="Pending"/>
    <n v="4.9000000000000004"/>
    <n v="0.24123076314436048"/>
    <n v="2971.02"/>
    <x v="1"/>
  </r>
  <r>
    <n v="952"/>
    <n v="9119"/>
    <x v="3"/>
    <x v="2"/>
    <n v="31256"/>
    <n v="1"/>
    <n v="31256"/>
    <x v="299"/>
    <x v="3"/>
    <x v="4"/>
    <s v="Cancelled"/>
    <n v="2.2000000000000002"/>
    <n v="0.26389493217302273"/>
    <n v="1128.5"/>
    <x v="1"/>
  </r>
  <r>
    <n v="953"/>
    <n v="6013"/>
    <x v="5"/>
    <x v="1"/>
    <n v="42788"/>
    <n v="4"/>
    <n v="171152"/>
    <x v="1"/>
    <x v="3"/>
    <x v="4"/>
    <s v="Pending"/>
    <n v="2"/>
    <n v="9.3964487706833688E-2"/>
    <n v="35263.39"/>
    <x v="1"/>
  </r>
  <r>
    <n v="954"/>
    <n v="9503"/>
    <x v="3"/>
    <x v="0"/>
    <n v="42218"/>
    <n v="5"/>
    <n v="211090"/>
    <x v="340"/>
    <x v="1"/>
    <x v="1"/>
    <s v="Cancelled"/>
    <n v="3.3"/>
    <n v="0.16025363588990479"/>
    <n v="29499.06"/>
    <x v="0"/>
  </r>
  <r>
    <n v="955"/>
    <n v="6756"/>
    <x v="3"/>
    <x v="0"/>
    <n v="35181"/>
    <n v="2"/>
    <n v="70362"/>
    <x v="33"/>
    <x v="2"/>
    <x v="3"/>
    <s v="Cancelled"/>
    <n v="2.2000000000000002"/>
    <n v="6.2566868480145532E-2"/>
    <n v="16706.27"/>
    <x v="0"/>
  </r>
  <r>
    <n v="956"/>
    <n v="9051"/>
    <x v="4"/>
    <x v="1"/>
    <n v="7073"/>
    <n v="2"/>
    <n v="14146"/>
    <x v="269"/>
    <x v="0"/>
    <x v="3"/>
    <s v="Cancelled"/>
    <n v="2.2999999999999998"/>
    <n v="0.12561925632687684"/>
    <n v="2466.79"/>
    <x v="1"/>
  </r>
  <r>
    <n v="957"/>
    <n v="8519"/>
    <x v="4"/>
    <x v="2"/>
    <n v="6958"/>
    <n v="2"/>
    <n v="13916"/>
    <x v="84"/>
    <x v="2"/>
    <x v="0"/>
    <s v="Delivered"/>
    <n v="1.3"/>
    <n v="8.2853549870652493E-2"/>
    <n v="3021.81"/>
    <x v="1"/>
  </r>
  <r>
    <n v="958"/>
    <n v="1317"/>
    <x v="1"/>
    <x v="1"/>
    <n v="3857"/>
    <n v="5"/>
    <n v="19285"/>
    <x v="141"/>
    <x v="3"/>
    <x v="1"/>
    <s v="Pending"/>
    <n v="4"/>
    <n v="0.29494944257194711"/>
    <n v="97.4"/>
    <x v="0"/>
  </r>
  <r>
    <n v="959"/>
    <n v="9716"/>
    <x v="1"/>
    <x v="2"/>
    <n v="14078"/>
    <n v="1"/>
    <n v="14078"/>
    <x v="201"/>
    <x v="0"/>
    <x v="0"/>
    <s v="Delivered"/>
    <n v="2.5"/>
    <n v="0.18348913197897426"/>
    <n v="1640.24"/>
    <x v="0"/>
  </r>
  <r>
    <n v="960"/>
    <n v="9897"/>
    <x v="2"/>
    <x v="0"/>
    <n v="32842"/>
    <n v="3"/>
    <n v="98526"/>
    <x v="314"/>
    <x v="1"/>
    <x v="1"/>
    <s v="Cancelled"/>
    <n v="4.4000000000000004"/>
    <n v="0.25958376469155348"/>
    <n v="3982.05"/>
    <x v="0"/>
  </r>
  <r>
    <n v="961"/>
    <n v="9369"/>
    <x v="0"/>
    <x v="2"/>
    <n v="8520"/>
    <n v="5"/>
    <n v="42600"/>
    <x v="49"/>
    <x v="2"/>
    <x v="2"/>
    <s v="Delivered"/>
    <n v="1.9"/>
    <n v="0.11077746478873239"/>
    <n v="8060.88"/>
    <x v="0"/>
  </r>
  <r>
    <n v="962"/>
    <n v="7841"/>
    <x v="0"/>
    <x v="2"/>
    <n v="9157"/>
    <n v="5"/>
    <n v="45785"/>
    <x v="19"/>
    <x v="3"/>
    <x v="4"/>
    <s v="Delivered"/>
    <n v="4.7"/>
    <n v="9.2832587091842306E-2"/>
    <n v="9485.16"/>
    <x v="1"/>
  </r>
  <r>
    <n v="963"/>
    <n v="8009"/>
    <x v="5"/>
    <x v="1"/>
    <n v="22813"/>
    <n v="2"/>
    <n v="45626"/>
    <x v="79"/>
    <x v="2"/>
    <x v="1"/>
    <s v="Pending"/>
    <n v="4.9000000000000004"/>
    <n v="0.1763284092403454"/>
    <n v="5642.64"/>
    <x v="1"/>
  </r>
  <r>
    <n v="964"/>
    <n v="4104"/>
    <x v="4"/>
    <x v="2"/>
    <n v="41994"/>
    <n v="2"/>
    <n v="83988"/>
    <x v="0"/>
    <x v="1"/>
    <x v="0"/>
    <s v="Cancelled"/>
    <n v="3.9"/>
    <n v="6.1195646997190073E-2"/>
    <n v="20056.7"/>
    <x v="1"/>
  </r>
  <r>
    <n v="965"/>
    <n v="7568"/>
    <x v="4"/>
    <x v="1"/>
    <n v="37649"/>
    <n v="2"/>
    <n v="75298"/>
    <x v="151"/>
    <x v="2"/>
    <x v="4"/>
    <s v="Delivered"/>
    <n v="4.0999999999999996"/>
    <n v="0.29421910276501367"/>
    <n v="435.29"/>
    <x v="1"/>
  </r>
  <r>
    <n v="966"/>
    <n v="5446"/>
    <x v="5"/>
    <x v="1"/>
    <n v="35072"/>
    <n v="5"/>
    <n v="175360"/>
    <x v="126"/>
    <x v="3"/>
    <x v="2"/>
    <s v="Delivered"/>
    <n v="1.6"/>
    <n v="0.16601277372262774"/>
    <n v="23496"/>
    <x v="1"/>
  </r>
  <r>
    <n v="967"/>
    <n v="5982"/>
    <x v="3"/>
    <x v="0"/>
    <n v="9951"/>
    <n v="2"/>
    <n v="19902"/>
    <x v="320"/>
    <x v="3"/>
    <x v="0"/>
    <s v="Delivered"/>
    <n v="3.3"/>
    <n v="5.2939905537131939E-2"/>
    <n v="4916.99"/>
    <x v="1"/>
  </r>
  <r>
    <n v="968"/>
    <n v="8725"/>
    <x v="5"/>
    <x v="0"/>
    <n v="37540"/>
    <n v="2"/>
    <n v="75080"/>
    <x v="239"/>
    <x v="0"/>
    <x v="4"/>
    <s v="Delivered"/>
    <n v="1.6"/>
    <n v="0.10551944592434735"/>
    <n v="14601.6"/>
    <x v="0"/>
  </r>
  <r>
    <n v="969"/>
    <n v="2753"/>
    <x v="1"/>
    <x v="2"/>
    <n v="6208"/>
    <n v="5"/>
    <n v="31040"/>
    <x v="290"/>
    <x v="0"/>
    <x v="1"/>
    <s v="Cancelled"/>
    <n v="2.5"/>
    <n v="0.16912338917525774"/>
    <n v="4062.41"/>
    <x v="0"/>
  </r>
  <r>
    <n v="970"/>
    <n v="8145"/>
    <x v="0"/>
    <x v="0"/>
    <n v="7870"/>
    <n v="1"/>
    <n v="7870"/>
    <x v="243"/>
    <x v="1"/>
    <x v="0"/>
    <s v="Pending"/>
    <n v="3.8"/>
    <n v="0.22690724269377383"/>
    <n v="575.24"/>
    <x v="0"/>
  </r>
  <r>
    <n v="971"/>
    <n v="6790"/>
    <x v="1"/>
    <x v="0"/>
    <n v="35180"/>
    <n v="1"/>
    <n v="35180"/>
    <x v="1"/>
    <x v="3"/>
    <x v="4"/>
    <s v="Pending"/>
    <n v="1.8"/>
    <n v="0.18587919272313813"/>
    <n v="4014.77"/>
    <x v="1"/>
  </r>
  <r>
    <n v="972"/>
    <n v="7730"/>
    <x v="1"/>
    <x v="0"/>
    <n v="46028"/>
    <n v="1"/>
    <n v="46028"/>
    <x v="276"/>
    <x v="0"/>
    <x v="2"/>
    <s v="Pending"/>
    <n v="4.7"/>
    <n v="0.16879225688711219"/>
    <n v="6039.23"/>
    <x v="1"/>
  </r>
  <r>
    <n v="973"/>
    <n v="4523"/>
    <x v="2"/>
    <x v="0"/>
    <n v="41593"/>
    <n v="2"/>
    <n v="83186"/>
    <x v="220"/>
    <x v="3"/>
    <x v="2"/>
    <s v="Cancelled"/>
    <n v="3.3"/>
    <n v="0.26385641814728439"/>
    <n v="3006.64"/>
    <x v="0"/>
  </r>
  <r>
    <n v="974"/>
    <n v="8101"/>
    <x v="5"/>
    <x v="2"/>
    <n v="14534"/>
    <n v="5"/>
    <n v="72670"/>
    <x v="330"/>
    <x v="0"/>
    <x v="4"/>
    <s v="Pending"/>
    <n v="3.5"/>
    <n v="0.28031113251685702"/>
    <n v="1430.79"/>
    <x v="0"/>
  </r>
  <r>
    <n v="975"/>
    <n v="6542"/>
    <x v="1"/>
    <x v="0"/>
    <n v="5341"/>
    <n v="1"/>
    <n v="5341"/>
    <x v="190"/>
    <x v="1"/>
    <x v="3"/>
    <s v="Pending"/>
    <n v="2.9"/>
    <n v="0.17181052237408725"/>
    <n v="684.66"/>
    <x v="1"/>
  </r>
  <r>
    <n v="976"/>
    <n v="1942"/>
    <x v="5"/>
    <x v="2"/>
    <n v="43514"/>
    <n v="2"/>
    <n v="87028"/>
    <x v="7"/>
    <x v="1"/>
    <x v="1"/>
    <s v="Delivered"/>
    <n v="3.6"/>
    <n v="0.24359263685250726"/>
    <n v="4909.0200000000004"/>
    <x v="0"/>
  </r>
  <r>
    <n v="977"/>
    <n v="7439"/>
    <x v="4"/>
    <x v="1"/>
    <n v="21556"/>
    <n v="2"/>
    <n v="43112"/>
    <x v="77"/>
    <x v="3"/>
    <x v="3"/>
    <s v="Pending"/>
    <n v="1.8"/>
    <n v="0.11957946743366117"/>
    <n v="7778.29"/>
    <x v="0"/>
  </r>
  <r>
    <n v="978"/>
    <n v="1005"/>
    <x v="3"/>
    <x v="2"/>
    <n v="16381"/>
    <n v="1"/>
    <n v="16381"/>
    <x v="12"/>
    <x v="0"/>
    <x v="1"/>
    <s v="Cancelled"/>
    <n v="4.0999999999999996"/>
    <n v="0.13193638971979732"/>
    <n v="2753.05"/>
    <x v="1"/>
  </r>
  <r>
    <n v="979"/>
    <n v="3878"/>
    <x v="3"/>
    <x v="1"/>
    <n v="44558"/>
    <n v="2"/>
    <n v="89116"/>
    <x v="278"/>
    <x v="1"/>
    <x v="0"/>
    <s v="Cancelled"/>
    <n v="1.8"/>
    <n v="0.16473214686476054"/>
    <n v="12054.53"/>
    <x v="1"/>
  </r>
  <r>
    <n v="980"/>
    <n v="6025"/>
    <x v="4"/>
    <x v="1"/>
    <n v="29283"/>
    <n v="3"/>
    <n v="87849"/>
    <x v="230"/>
    <x v="1"/>
    <x v="1"/>
    <s v="Pending"/>
    <n v="1.5"/>
    <n v="0.17269359924415759"/>
    <n v="11183.74"/>
    <x v="1"/>
  </r>
  <r>
    <n v="981"/>
    <n v="4673"/>
    <x v="3"/>
    <x v="2"/>
    <n v="14954"/>
    <n v="1"/>
    <n v="14954"/>
    <x v="271"/>
    <x v="0"/>
    <x v="1"/>
    <s v="Cancelled"/>
    <n v="2.2000000000000002"/>
    <n v="0.29527618028621105"/>
    <n v="70.64"/>
    <x v="1"/>
  </r>
  <r>
    <n v="982"/>
    <n v="3202"/>
    <x v="2"/>
    <x v="1"/>
    <n v="25337"/>
    <n v="5"/>
    <n v="126685"/>
    <x v="125"/>
    <x v="3"/>
    <x v="2"/>
    <s v="Cancelled"/>
    <n v="2"/>
    <n v="0.11739858704661167"/>
    <n v="23132.86"/>
    <x v="1"/>
  </r>
  <r>
    <n v="983"/>
    <n v="8174"/>
    <x v="5"/>
    <x v="2"/>
    <n v="24732"/>
    <n v="3"/>
    <n v="74196"/>
    <x v="113"/>
    <x v="1"/>
    <x v="1"/>
    <s v="Cancelled"/>
    <n v="2.2000000000000002"/>
    <n v="0.25540083023343579"/>
    <n v="3309.08"/>
    <x v="1"/>
  </r>
  <r>
    <n v="984"/>
    <n v="4105"/>
    <x v="0"/>
    <x v="0"/>
    <n v="48964"/>
    <n v="1"/>
    <n v="48964"/>
    <x v="237"/>
    <x v="2"/>
    <x v="0"/>
    <s v="Pending"/>
    <n v="3.8"/>
    <n v="0.18141287476513357"/>
    <n v="5806.5"/>
    <x v="1"/>
  </r>
  <r>
    <n v="985"/>
    <n v="3177"/>
    <x v="1"/>
    <x v="2"/>
    <n v="1555"/>
    <n v="4"/>
    <n v="6220"/>
    <x v="85"/>
    <x v="3"/>
    <x v="0"/>
    <s v="Pending"/>
    <n v="1.7"/>
    <n v="5.6228295819935693E-2"/>
    <n v="1516.26"/>
    <x v="0"/>
  </r>
  <r>
    <n v="986"/>
    <n v="5926"/>
    <x v="2"/>
    <x v="1"/>
    <n v="19978"/>
    <n v="2"/>
    <n v="39956"/>
    <x v="195"/>
    <x v="3"/>
    <x v="0"/>
    <s v="Delivered"/>
    <n v="2.2000000000000002"/>
    <n v="0.21477024727199923"/>
    <n v="3405.44"/>
    <x v="0"/>
  </r>
  <r>
    <n v="987"/>
    <n v="9580"/>
    <x v="1"/>
    <x v="1"/>
    <n v="12940"/>
    <n v="5"/>
    <n v="64700"/>
    <x v="188"/>
    <x v="3"/>
    <x v="0"/>
    <s v="Delivered"/>
    <n v="2.1"/>
    <n v="6.7746058732612052E-2"/>
    <n v="15026.83"/>
    <x v="0"/>
  </r>
  <r>
    <n v="988"/>
    <n v="8692"/>
    <x v="5"/>
    <x v="2"/>
    <n v="7518"/>
    <n v="1"/>
    <n v="7518"/>
    <x v="228"/>
    <x v="2"/>
    <x v="2"/>
    <s v="Pending"/>
    <n v="1.6"/>
    <n v="0.23598430433625966"/>
    <n v="481.27"/>
    <x v="0"/>
  </r>
  <r>
    <n v="989"/>
    <n v="6245"/>
    <x v="4"/>
    <x v="0"/>
    <n v="34217"/>
    <n v="2"/>
    <n v="68434"/>
    <x v="249"/>
    <x v="3"/>
    <x v="1"/>
    <s v="Cancelled"/>
    <n v="4.0999999999999996"/>
    <n v="0.18786597305432973"/>
    <n v="7673.78"/>
    <x v="1"/>
  </r>
  <r>
    <n v="990"/>
    <n v="6430"/>
    <x v="4"/>
    <x v="2"/>
    <n v="4733"/>
    <n v="2"/>
    <n v="9466"/>
    <x v="281"/>
    <x v="2"/>
    <x v="0"/>
    <s v="Pending"/>
    <n v="1.4"/>
    <n v="5.7785759560532432E-2"/>
    <n v="2292.8000000000002"/>
    <x v="1"/>
  </r>
  <r>
    <n v="991"/>
    <n v="6145"/>
    <x v="3"/>
    <x v="2"/>
    <n v="27499"/>
    <n v="2"/>
    <n v="54998"/>
    <x v="209"/>
    <x v="0"/>
    <x v="3"/>
    <s v="Delivered"/>
    <n v="2.9"/>
    <n v="5.8404669260700384E-2"/>
    <n v="13287.26"/>
    <x v="1"/>
  </r>
  <r>
    <n v="992"/>
    <n v="7991"/>
    <x v="0"/>
    <x v="0"/>
    <n v="13659"/>
    <n v="3"/>
    <n v="40977"/>
    <x v="271"/>
    <x v="3"/>
    <x v="1"/>
    <s v="Cancelled"/>
    <n v="4.3"/>
    <n v="0.21837665031603096"/>
    <n v="3344.68"/>
    <x v="1"/>
  </r>
  <r>
    <n v="993"/>
    <n v="3652"/>
    <x v="0"/>
    <x v="0"/>
    <n v="11344"/>
    <n v="1"/>
    <n v="11344"/>
    <x v="187"/>
    <x v="1"/>
    <x v="2"/>
    <s v="Cancelled"/>
    <n v="2.2000000000000002"/>
    <n v="0.25831540902679828"/>
    <n v="472.87"/>
    <x v="0"/>
  </r>
  <r>
    <n v="994"/>
    <n v="3506"/>
    <x v="4"/>
    <x v="2"/>
    <n v="49825"/>
    <n v="3"/>
    <n v="149475"/>
    <x v="162"/>
    <x v="2"/>
    <x v="2"/>
    <s v="Pending"/>
    <n v="2.6"/>
    <n v="0.1788456263589229"/>
    <n v="18109.55"/>
    <x v="1"/>
  </r>
  <r>
    <n v="995"/>
    <n v="3622"/>
    <x v="1"/>
    <x v="0"/>
    <n v="4305"/>
    <n v="5"/>
    <n v="21525"/>
    <x v="83"/>
    <x v="0"/>
    <x v="3"/>
    <s v="Delivered"/>
    <n v="1.5"/>
    <n v="0.19381881533101045"/>
    <n v="2285.5500000000002"/>
    <x v="1"/>
  </r>
  <r>
    <n v="996"/>
    <n v="9700"/>
    <x v="5"/>
    <x v="0"/>
    <n v="18048"/>
    <n v="3"/>
    <n v="54144"/>
    <x v="152"/>
    <x v="2"/>
    <x v="1"/>
    <s v="Cancelled"/>
    <n v="1"/>
    <n v="6.0002955082742324E-2"/>
    <n v="12994.4"/>
    <x v="0"/>
  </r>
  <r>
    <n v="997"/>
    <n v="9937"/>
    <x v="2"/>
    <x v="1"/>
    <n v="19916"/>
    <n v="5"/>
    <n v="99580"/>
    <x v="125"/>
    <x v="1"/>
    <x v="4"/>
    <s v="Cancelled"/>
    <n v="1.6"/>
    <n v="0.22405884715806385"/>
    <n v="7562.22"/>
    <x v="0"/>
  </r>
  <r>
    <n v="998"/>
    <n v="7711"/>
    <x v="0"/>
    <x v="0"/>
    <n v="20893"/>
    <n v="4"/>
    <n v="83572"/>
    <x v="170"/>
    <x v="0"/>
    <x v="0"/>
    <s v="Pending"/>
    <n v="3"/>
    <n v="0.24399440003829032"/>
    <n v="4680.5"/>
    <x v="0"/>
  </r>
  <r>
    <n v="999"/>
    <n v="6339"/>
    <x v="5"/>
    <x v="1"/>
    <n v="39351"/>
    <n v="2"/>
    <n v="78702"/>
    <x v="341"/>
    <x v="3"/>
    <x v="2"/>
    <s v="Pending"/>
    <n v="1.3"/>
    <n v="0.17398058499148689"/>
    <n v="9917.98"/>
    <x v="0"/>
  </r>
  <r>
    <n v="1000"/>
    <n v="8816"/>
    <x v="3"/>
    <x v="1"/>
    <n v="25079"/>
    <n v="4"/>
    <n v="100316"/>
    <x v="54"/>
    <x v="3"/>
    <x v="2"/>
    <s v="Pending"/>
    <n v="3.7"/>
    <n v="0.11894074723872562"/>
    <n v="18163.1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80EBB-EF19-436A-91AF-DEAF30F891D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2:D26" firstHeaderRow="0" firstDataRow="1" firstDataCol="1"/>
  <pivotFields count="16">
    <pivotField showAll="0"/>
    <pivotField showAll="0"/>
    <pivotField showAll="0">
      <items count="7">
        <item x="0"/>
        <item x="1"/>
        <item x="5"/>
        <item x="2"/>
        <item x="3"/>
        <item x="4"/>
        <item t="default"/>
      </items>
    </pivotField>
    <pivotField axis="axisRow" showAll="0">
      <items count="4">
        <item x="0"/>
        <item x="1"/>
        <item x="2"/>
        <item t="default"/>
      </items>
    </pivotField>
    <pivotField showAll="0"/>
    <pivotField showAll="0"/>
    <pivotField dataField="1" showAll="0"/>
    <pivotField numFmtId="14" showAll="0">
      <items count="343">
        <item x="76"/>
        <item x="34"/>
        <item x="334"/>
        <item x="322"/>
        <item x="134"/>
        <item x="54"/>
        <item x="199"/>
        <item x="24"/>
        <item x="151"/>
        <item x="220"/>
        <item x="231"/>
        <item x="32"/>
        <item x="121"/>
        <item x="293"/>
        <item x="84"/>
        <item x="12"/>
        <item x="262"/>
        <item x="260"/>
        <item x="331"/>
        <item x="67"/>
        <item x="55"/>
        <item x="13"/>
        <item x="222"/>
        <item x="264"/>
        <item x="258"/>
        <item x="29"/>
        <item x="14"/>
        <item x="40"/>
        <item x="266"/>
        <item x="325"/>
        <item x="280"/>
        <item x="43"/>
        <item x="61"/>
        <item x="129"/>
        <item x="99"/>
        <item x="197"/>
        <item x="229"/>
        <item x="72"/>
        <item x="249"/>
        <item x="105"/>
        <item x="147"/>
        <item x="124"/>
        <item x="39"/>
        <item x="5"/>
        <item x="314"/>
        <item x="214"/>
        <item x="136"/>
        <item x="51"/>
        <item x="68"/>
        <item x="30"/>
        <item x="154"/>
        <item x="80"/>
        <item x="297"/>
        <item x="144"/>
        <item x="273"/>
        <item x="326"/>
        <item x="73"/>
        <item x="323"/>
        <item x="306"/>
        <item x="25"/>
        <item x="164"/>
        <item x="125"/>
        <item x="60"/>
        <item x="8"/>
        <item x="168"/>
        <item x="304"/>
        <item x="153"/>
        <item x="86"/>
        <item x="272"/>
        <item x="263"/>
        <item x="119"/>
        <item x="271"/>
        <item x="278"/>
        <item x="224"/>
        <item x="248"/>
        <item x="133"/>
        <item x="26"/>
        <item x="1"/>
        <item x="163"/>
        <item x="246"/>
        <item x="213"/>
        <item x="290"/>
        <item x="2"/>
        <item x="238"/>
        <item x="317"/>
        <item x="135"/>
        <item x="28"/>
        <item x="95"/>
        <item x="330"/>
        <item x="332"/>
        <item x="307"/>
        <item x="254"/>
        <item x="85"/>
        <item x="253"/>
        <item x="81"/>
        <item x="116"/>
        <item x="101"/>
        <item x="118"/>
        <item x="178"/>
        <item x="33"/>
        <item x="303"/>
        <item x="70"/>
        <item x="177"/>
        <item x="127"/>
        <item x="294"/>
        <item x="285"/>
        <item x="56"/>
        <item x="20"/>
        <item x="189"/>
        <item x="37"/>
        <item x="337"/>
        <item x="200"/>
        <item x="240"/>
        <item x="311"/>
        <item x="270"/>
        <item x="90"/>
        <item x="265"/>
        <item x="74"/>
        <item x="166"/>
        <item x="328"/>
        <item x="301"/>
        <item x="230"/>
        <item x="38"/>
        <item x="139"/>
        <item x="319"/>
        <item x="140"/>
        <item x="316"/>
        <item x="333"/>
        <item x="261"/>
        <item x="302"/>
        <item x="233"/>
        <item x="175"/>
        <item x="190"/>
        <item x="241"/>
        <item x="196"/>
        <item x="179"/>
        <item x="75"/>
        <item x="92"/>
        <item x="274"/>
        <item x="9"/>
        <item x="82"/>
        <item x="286"/>
        <item x="149"/>
        <item x="31"/>
        <item x="78"/>
        <item x="0"/>
        <item x="295"/>
        <item x="182"/>
        <item x="83"/>
        <item x="77"/>
        <item x="338"/>
        <item x="111"/>
        <item x="45"/>
        <item x="91"/>
        <item x="204"/>
        <item x="243"/>
        <item x="6"/>
        <item x="208"/>
        <item x="215"/>
        <item x="187"/>
        <item x="336"/>
        <item x="50"/>
        <item x="170"/>
        <item x="312"/>
        <item x="259"/>
        <item x="339"/>
        <item x="305"/>
        <item x="216"/>
        <item x="130"/>
        <item x="313"/>
        <item x="126"/>
        <item x="59"/>
        <item x="173"/>
        <item x="102"/>
        <item x="141"/>
        <item x="225"/>
        <item x="16"/>
        <item x="122"/>
        <item x="210"/>
        <item x="276"/>
        <item x="120"/>
        <item x="7"/>
        <item x="64"/>
        <item x="226"/>
        <item x="195"/>
        <item x="21"/>
        <item x="57"/>
        <item x="218"/>
        <item x="183"/>
        <item x="22"/>
        <item x="66"/>
        <item x="113"/>
        <item x="242"/>
        <item x="186"/>
        <item x="234"/>
        <item x="69"/>
        <item x="161"/>
        <item x="71"/>
        <item x="217"/>
        <item x="132"/>
        <item x="209"/>
        <item x="203"/>
        <item x="10"/>
        <item x="107"/>
        <item x="110"/>
        <item x="268"/>
        <item x="277"/>
        <item x="281"/>
        <item x="300"/>
        <item x="160"/>
        <item x="184"/>
        <item x="329"/>
        <item x="185"/>
        <item x="192"/>
        <item x="17"/>
        <item x="335"/>
        <item x="296"/>
        <item x="169"/>
        <item x="205"/>
        <item x="3"/>
        <item x="244"/>
        <item x="142"/>
        <item x="251"/>
        <item x="236"/>
        <item x="44"/>
        <item x="282"/>
        <item x="94"/>
        <item x="232"/>
        <item x="108"/>
        <item x="324"/>
        <item x="52"/>
        <item x="212"/>
        <item x="211"/>
        <item x="194"/>
        <item x="143"/>
        <item x="96"/>
        <item x="146"/>
        <item x="106"/>
        <item x="49"/>
        <item x="255"/>
        <item x="11"/>
        <item x="180"/>
        <item x="88"/>
        <item x="114"/>
        <item x="128"/>
        <item x="100"/>
        <item x="287"/>
        <item x="298"/>
        <item x="341"/>
        <item x="123"/>
        <item x="237"/>
        <item x="279"/>
        <item x="165"/>
        <item x="162"/>
        <item x="98"/>
        <item x="207"/>
        <item x="138"/>
        <item x="227"/>
        <item x="35"/>
        <item x="181"/>
        <item x="308"/>
        <item x="201"/>
        <item x="252"/>
        <item x="288"/>
        <item x="219"/>
        <item x="340"/>
        <item x="320"/>
        <item x="79"/>
        <item x="228"/>
        <item x="235"/>
        <item x="284"/>
        <item x="87"/>
        <item x="159"/>
        <item x="176"/>
        <item x="309"/>
        <item x="275"/>
        <item x="93"/>
        <item x="172"/>
        <item x="18"/>
        <item x="174"/>
        <item x="291"/>
        <item x="41"/>
        <item x="4"/>
        <item x="46"/>
        <item x="42"/>
        <item x="299"/>
        <item x="327"/>
        <item x="47"/>
        <item x="131"/>
        <item x="112"/>
        <item x="48"/>
        <item x="65"/>
        <item x="202"/>
        <item x="63"/>
        <item x="188"/>
        <item x="152"/>
        <item x="148"/>
        <item x="269"/>
        <item x="198"/>
        <item x="257"/>
        <item x="206"/>
        <item x="158"/>
        <item x="221"/>
        <item x="318"/>
        <item x="62"/>
        <item x="247"/>
        <item x="103"/>
        <item x="117"/>
        <item x="23"/>
        <item x="157"/>
        <item x="283"/>
        <item x="310"/>
        <item x="223"/>
        <item x="167"/>
        <item x="58"/>
        <item x="239"/>
        <item x="137"/>
        <item x="256"/>
        <item x="150"/>
        <item x="15"/>
        <item x="89"/>
        <item x="27"/>
        <item x="245"/>
        <item x="321"/>
        <item x="19"/>
        <item x="97"/>
        <item x="53"/>
        <item x="115"/>
        <item x="250"/>
        <item x="36"/>
        <item x="104"/>
        <item x="156"/>
        <item x="191"/>
        <item x="109"/>
        <item x="171"/>
        <item x="289"/>
        <item x="292"/>
        <item x="267"/>
        <item x="155"/>
        <item x="145"/>
        <item x="193"/>
        <item x="315"/>
        <item t="default"/>
      </items>
    </pivotField>
    <pivotField showAll="0"/>
    <pivotField showAll="0"/>
    <pivotField showAll="0"/>
    <pivotField showAll="0"/>
    <pivotField numFmtId="9"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Fields count="1">
    <field x="-2"/>
  </colFields>
  <colItems count="2">
    <i>
      <x/>
    </i>
    <i i="1">
      <x v="1"/>
    </i>
  </colItems>
  <dataFields count="2">
    <dataField name="Sum of Total Amount" fld="6" baseField="0" baseItem="0"/>
    <dataField name="Sum of Profit" fld="13" baseField="0" baseItem="0"/>
  </dataFields>
  <formats count="6">
    <format dxfId="1753">
      <pivotArea type="all" dataOnly="0" outline="0" fieldPosition="0"/>
    </format>
    <format dxfId="1752">
      <pivotArea outline="0" collapsedLevelsAreSubtotals="1" fieldPosition="0"/>
    </format>
    <format dxfId="1751">
      <pivotArea field="3" type="button" dataOnly="0" labelOnly="1" outline="0" axis="axisRow" fieldPosition="0"/>
    </format>
    <format dxfId="1750">
      <pivotArea dataOnly="0" labelOnly="1" fieldPosition="0">
        <references count="1">
          <reference field="3" count="0"/>
        </references>
      </pivotArea>
    </format>
    <format dxfId="1749">
      <pivotArea dataOnly="0" labelOnly="1" grandRow="1" outline="0" fieldPosition="0"/>
    </format>
    <format dxfId="1748">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A860DD-C0F7-4581-A373-9821F78AB39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2:L27" firstHeaderRow="1" firstDataRow="2" firstDataCol="1"/>
  <pivotFields count="16">
    <pivotField showAll="0"/>
    <pivotField showAll="0"/>
    <pivotField showAll="0">
      <items count="7">
        <item x="0"/>
        <item x="1"/>
        <item x="5"/>
        <item x="2"/>
        <item x="3"/>
        <item x="4"/>
        <item t="default"/>
      </items>
    </pivotField>
    <pivotField axis="axisRow" showAll="0">
      <items count="4">
        <item x="0"/>
        <item x="1"/>
        <item x="2"/>
        <item t="default"/>
      </items>
    </pivotField>
    <pivotField showAll="0"/>
    <pivotField showAll="0"/>
    <pivotField dataField="1" showAll="0"/>
    <pivotField numFmtId="14" showAll="0">
      <items count="343">
        <item x="76"/>
        <item x="34"/>
        <item x="334"/>
        <item x="322"/>
        <item x="134"/>
        <item x="54"/>
        <item x="199"/>
        <item x="24"/>
        <item x="151"/>
        <item x="220"/>
        <item x="231"/>
        <item x="32"/>
        <item x="121"/>
        <item x="293"/>
        <item x="84"/>
        <item x="12"/>
        <item x="262"/>
        <item x="260"/>
        <item x="331"/>
        <item x="67"/>
        <item x="55"/>
        <item x="13"/>
        <item x="222"/>
        <item x="264"/>
        <item x="258"/>
        <item x="29"/>
        <item x="14"/>
        <item x="40"/>
        <item x="266"/>
        <item x="325"/>
        <item x="280"/>
        <item x="43"/>
        <item x="61"/>
        <item x="129"/>
        <item x="99"/>
        <item x="197"/>
        <item x="229"/>
        <item x="72"/>
        <item x="249"/>
        <item x="105"/>
        <item x="147"/>
        <item x="124"/>
        <item x="39"/>
        <item x="5"/>
        <item x="314"/>
        <item x="214"/>
        <item x="136"/>
        <item x="51"/>
        <item x="68"/>
        <item x="30"/>
        <item x="154"/>
        <item x="80"/>
        <item x="297"/>
        <item x="144"/>
        <item x="273"/>
        <item x="326"/>
        <item x="73"/>
        <item x="323"/>
        <item x="306"/>
        <item x="25"/>
        <item x="164"/>
        <item x="125"/>
        <item x="60"/>
        <item x="8"/>
        <item x="168"/>
        <item x="304"/>
        <item x="153"/>
        <item x="86"/>
        <item x="272"/>
        <item x="263"/>
        <item x="119"/>
        <item x="271"/>
        <item x="278"/>
        <item x="224"/>
        <item x="248"/>
        <item x="133"/>
        <item x="26"/>
        <item x="1"/>
        <item x="163"/>
        <item x="246"/>
        <item x="213"/>
        <item x="290"/>
        <item x="2"/>
        <item x="238"/>
        <item x="317"/>
        <item x="135"/>
        <item x="28"/>
        <item x="95"/>
        <item x="330"/>
        <item x="332"/>
        <item x="307"/>
        <item x="254"/>
        <item x="85"/>
        <item x="253"/>
        <item x="81"/>
        <item x="116"/>
        <item x="101"/>
        <item x="118"/>
        <item x="178"/>
        <item x="33"/>
        <item x="303"/>
        <item x="70"/>
        <item x="177"/>
        <item x="127"/>
        <item x="294"/>
        <item x="285"/>
        <item x="56"/>
        <item x="20"/>
        <item x="189"/>
        <item x="37"/>
        <item x="337"/>
        <item x="200"/>
        <item x="240"/>
        <item x="311"/>
        <item x="270"/>
        <item x="90"/>
        <item x="265"/>
        <item x="74"/>
        <item x="166"/>
        <item x="328"/>
        <item x="301"/>
        <item x="230"/>
        <item x="38"/>
        <item x="139"/>
        <item x="319"/>
        <item x="140"/>
        <item x="316"/>
        <item x="333"/>
        <item x="261"/>
        <item x="302"/>
        <item x="233"/>
        <item x="175"/>
        <item x="190"/>
        <item x="241"/>
        <item x="196"/>
        <item x="179"/>
        <item x="75"/>
        <item x="92"/>
        <item x="274"/>
        <item x="9"/>
        <item x="82"/>
        <item x="286"/>
        <item x="149"/>
        <item x="31"/>
        <item x="78"/>
        <item x="0"/>
        <item x="295"/>
        <item x="182"/>
        <item x="83"/>
        <item x="77"/>
        <item x="338"/>
        <item x="111"/>
        <item x="45"/>
        <item x="91"/>
        <item x="204"/>
        <item x="243"/>
        <item x="6"/>
        <item x="208"/>
        <item x="215"/>
        <item x="187"/>
        <item x="336"/>
        <item x="50"/>
        <item x="170"/>
        <item x="312"/>
        <item x="259"/>
        <item x="339"/>
        <item x="305"/>
        <item x="216"/>
        <item x="130"/>
        <item x="313"/>
        <item x="126"/>
        <item x="59"/>
        <item x="173"/>
        <item x="102"/>
        <item x="141"/>
        <item x="225"/>
        <item x="16"/>
        <item x="122"/>
        <item x="210"/>
        <item x="276"/>
        <item x="120"/>
        <item x="7"/>
        <item x="64"/>
        <item x="226"/>
        <item x="195"/>
        <item x="21"/>
        <item x="57"/>
        <item x="218"/>
        <item x="183"/>
        <item x="22"/>
        <item x="66"/>
        <item x="113"/>
        <item x="242"/>
        <item x="186"/>
        <item x="234"/>
        <item x="69"/>
        <item x="161"/>
        <item x="71"/>
        <item x="217"/>
        <item x="132"/>
        <item x="209"/>
        <item x="203"/>
        <item x="10"/>
        <item x="107"/>
        <item x="110"/>
        <item x="268"/>
        <item x="277"/>
        <item x="281"/>
        <item x="300"/>
        <item x="160"/>
        <item x="184"/>
        <item x="329"/>
        <item x="185"/>
        <item x="192"/>
        <item x="17"/>
        <item x="335"/>
        <item x="296"/>
        <item x="169"/>
        <item x="205"/>
        <item x="3"/>
        <item x="244"/>
        <item x="142"/>
        <item x="251"/>
        <item x="236"/>
        <item x="44"/>
        <item x="282"/>
        <item x="94"/>
        <item x="232"/>
        <item x="108"/>
        <item x="324"/>
        <item x="52"/>
        <item x="212"/>
        <item x="211"/>
        <item x="194"/>
        <item x="143"/>
        <item x="96"/>
        <item x="146"/>
        <item x="106"/>
        <item x="49"/>
        <item x="255"/>
        <item x="11"/>
        <item x="180"/>
        <item x="88"/>
        <item x="114"/>
        <item x="128"/>
        <item x="100"/>
        <item x="287"/>
        <item x="298"/>
        <item x="341"/>
        <item x="123"/>
        <item x="237"/>
        <item x="279"/>
        <item x="165"/>
        <item x="162"/>
        <item x="98"/>
        <item x="207"/>
        <item x="138"/>
        <item x="227"/>
        <item x="35"/>
        <item x="181"/>
        <item x="308"/>
        <item x="201"/>
        <item x="252"/>
        <item x="288"/>
        <item x="219"/>
        <item x="340"/>
        <item x="320"/>
        <item x="79"/>
        <item x="228"/>
        <item x="235"/>
        <item x="284"/>
        <item x="87"/>
        <item x="159"/>
        <item x="176"/>
        <item x="309"/>
        <item x="275"/>
        <item x="93"/>
        <item x="172"/>
        <item x="18"/>
        <item x="174"/>
        <item x="291"/>
        <item x="41"/>
        <item x="4"/>
        <item x="46"/>
        <item x="42"/>
        <item x="299"/>
        <item x="327"/>
        <item x="47"/>
        <item x="131"/>
        <item x="112"/>
        <item x="48"/>
        <item x="65"/>
        <item x="202"/>
        <item x="63"/>
        <item x="188"/>
        <item x="152"/>
        <item x="148"/>
        <item x="269"/>
        <item x="198"/>
        <item x="257"/>
        <item x="206"/>
        <item x="158"/>
        <item x="221"/>
        <item x="318"/>
        <item x="62"/>
        <item x="247"/>
        <item x="103"/>
        <item x="117"/>
        <item x="23"/>
        <item x="157"/>
        <item x="283"/>
        <item x="310"/>
        <item x="223"/>
        <item x="167"/>
        <item x="58"/>
        <item x="239"/>
        <item x="137"/>
        <item x="256"/>
        <item x="150"/>
        <item x="15"/>
        <item x="89"/>
        <item x="27"/>
        <item x="245"/>
        <item x="321"/>
        <item x="19"/>
        <item x="97"/>
        <item x="53"/>
        <item x="115"/>
        <item x="250"/>
        <item x="36"/>
        <item x="104"/>
        <item x="156"/>
        <item x="191"/>
        <item x="109"/>
        <item x="171"/>
        <item x="289"/>
        <item x="292"/>
        <item x="267"/>
        <item x="155"/>
        <item x="145"/>
        <item x="193"/>
        <item x="315"/>
        <item t="default"/>
      </items>
    </pivotField>
    <pivotField showAll="0"/>
    <pivotField axis="axisCol" showAll="0">
      <items count="6">
        <item x="3"/>
        <item x="0"/>
        <item x="2"/>
        <item x="4"/>
        <item x="1"/>
        <item t="default"/>
      </items>
    </pivotField>
    <pivotField showAll="0"/>
    <pivotField showAll="0"/>
    <pivotField numFmtId="9" showAll="0"/>
    <pivotField showAll="0"/>
    <pivotField showAl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Fields count="1">
    <field x="9"/>
  </colFields>
  <colItems count="6">
    <i>
      <x/>
    </i>
    <i>
      <x v="1"/>
    </i>
    <i>
      <x v="2"/>
    </i>
    <i>
      <x v="3"/>
    </i>
    <i>
      <x v="4"/>
    </i>
    <i t="grand">
      <x/>
    </i>
  </colItems>
  <dataFields count="1">
    <dataField name="Sum of Total Amount" fld="6" baseField="0" baseItem="0"/>
  </dataFields>
  <formats count="10">
    <format dxfId="1763">
      <pivotArea type="all" dataOnly="0" outline="0" fieldPosition="0"/>
    </format>
    <format dxfId="1762">
      <pivotArea outline="0" collapsedLevelsAreSubtotals="1" fieldPosition="0"/>
    </format>
    <format dxfId="1761">
      <pivotArea type="origin" dataOnly="0" labelOnly="1" outline="0" fieldPosition="0"/>
    </format>
    <format dxfId="1760">
      <pivotArea field="9" type="button" dataOnly="0" labelOnly="1" outline="0" axis="axisCol" fieldPosition="0"/>
    </format>
    <format dxfId="1759">
      <pivotArea type="topRight" dataOnly="0" labelOnly="1" outline="0" fieldPosition="0"/>
    </format>
    <format dxfId="1758">
      <pivotArea field="3" type="button" dataOnly="0" labelOnly="1" outline="0" axis="axisRow" fieldPosition="0"/>
    </format>
    <format dxfId="1757">
      <pivotArea dataOnly="0" labelOnly="1" fieldPosition="0">
        <references count="1">
          <reference field="3" count="0"/>
        </references>
      </pivotArea>
    </format>
    <format dxfId="1756">
      <pivotArea dataOnly="0" labelOnly="1" grandRow="1" outline="0" fieldPosition="0"/>
    </format>
    <format dxfId="1755">
      <pivotArea dataOnly="0" labelOnly="1" fieldPosition="0">
        <references count="1">
          <reference field="9" count="0"/>
        </references>
      </pivotArea>
    </format>
    <format dxfId="1754">
      <pivotArea dataOnly="0" labelOnly="1" grandCol="1" outline="0" fieldPosition="0"/>
    </format>
  </formats>
  <chartFormats count="10">
    <chartFormat chart="2" format="10" series="1">
      <pivotArea type="data" outline="0" fieldPosition="0">
        <references count="2">
          <reference field="4294967294" count="1" selected="0">
            <x v="0"/>
          </reference>
          <reference field="9" count="1" selected="0">
            <x v="0"/>
          </reference>
        </references>
      </pivotArea>
    </chartFormat>
    <chartFormat chart="2" format="11" series="1">
      <pivotArea type="data" outline="0" fieldPosition="0">
        <references count="2">
          <reference field="4294967294" count="1" selected="0">
            <x v="0"/>
          </reference>
          <reference field="9" count="1" selected="0">
            <x v="1"/>
          </reference>
        </references>
      </pivotArea>
    </chartFormat>
    <chartFormat chart="2" format="12" series="1">
      <pivotArea type="data" outline="0" fieldPosition="0">
        <references count="2">
          <reference field="4294967294" count="1" selected="0">
            <x v="0"/>
          </reference>
          <reference field="9" count="1" selected="0">
            <x v="2"/>
          </reference>
        </references>
      </pivotArea>
    </chartFormat>
    <chartFormat chart="2" format="13" series="1">
      <pivotArea type="data" outline="0" fieldPosition="0">
        <references count="2">
          <reference field="4294967294" count="1" selected="0">
            <x v="0"/>
          </reference>
          <reference field="9" count="1" selected="0">
            <x v="3"/>
          </reference>
        </references>
      </pivotArea>
    </chartFormat>
    <chartFormat chart="2" format="14" series="1">
      <pivotArea type="data" outline="0" fieldPosition="0">
        <references count="2">
          <reference field="4294967294" count="1" selected="0">
            <x v="0"/>
          </reference>
          <reference field="9" count="1" selected="0">
            <x v="4"/>
          </reference>
        </references>
      </pivotArea>
    </chartFormat>
    <chartFormat chart="3" format="5" series="1">
      <pivotArea type="data" outline="0" fieldPosition="0">
        <references count="2">
          <reference field="4294967294" count="1" selected="0">
            <x v="0"/>
          </reference>
          <reference field="9" count="1" selected="0">
            <x v="0"/>
          </reference>
        </references>
      </pivotArea>
    </chartFormat>
    <chartFormat chart="3" format="6" series="1">
      <pivotArea type="data" outline="0" fieldPosition="0">
        <references count="2">
          <reference field="4294967294" count="1" selected="0">
            <x v="0"/>
          </reference>
          <reference field="9" count="1" selected="0">
            <x v="1"/>
          </reference>
        </references>
      </pivotArea>
    </chartFormat>
    <chartFormat chart="3" format="7" series="1">
      <pivotArea type="data" outline="0" fieldPosition="0">
        <references count="2">
          <reference field="4294967294" count="1" selected="0">
            <x v="0"/>
          </reference>
          <reference field="9" count="1" selected="0">
            <x v="2"/>
          </reference>
        </references>
      </pivotArea>
    </chartFormat>
    <chartFormat chart="3" format="8" series="1">
      <pivotArea type="data" outline="0" fieldPosition="0">
        <references count="2">
          <reference field="4294967294" count="1" selected="0">
            <x v="0"/>
          </reference>
          <reference field="9" count="1" selected="0">
            <x v="3"/>
          </reference>
        </references>
      </pivotArea>
    </chartFormat>
    <chartFormat chart="3" format="9" series="1">
      <pivotArea type="data" outline="0" fieldPosition="0">
        <references count="2">
          <reference field="4294967294" count="1" selected="0">
            <x v="0"/>
          </reference>
          <reference field="9" count="1" selected="0">
            <x v="4"/>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E35480-FF03-4020-86AC-43417E0FAF6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4:O27" firstHeaderRow="1" firstDataRow="1" firstDataCol="1"/>
  <pivotFields count="16">
    <pivotField showAll="0"/>
    <pivotField showAll="0"/>
    <pivotField showAll="0">
      <items count="7">
        <item x="0"/>
        <item x="1"/>
        <item x="5"/>
        <item x="2"/>
        <item x="3"/>
        <item x="4"/>
        <item t="default"/>
      </items>
    </pivotField>
    <pivotField showAll="0">
      <items count="4">
        <item x="0"/>
        <item x="1"/>
        <item x="2"/>
        <item t="default"/>
      </items>
    </pivotField>
    <pivotField showAll="0"/>
    <pivotField showAll="0"/>
    <pivotField dataField="1" showAll="0"/>
    <pivotField numFmtId="14" showAll="0">
      <items count="343">
        <item x="76"/>
        <item x="34"/>
        <item x="334"/>
        <item x="322"/>
        <item x="134"/>
        <item x="54"/>
        <item x="199"/>
        <item x="24"/>
        <item x="151"/>
        <item x="220"/>
        <item x="231"/>
        <item x="32"/>
        <item x="121"/>
        <item x="293"/>
        <item x="84"/>
        <item x="12"/>
        <item x="262"/>
        <item x="260"/>
        <item x="331"/>
        <item x="67"/>
        <item x="55"/>
        <item x="13"/>
        <item x="222"/>
        <item x="264"/>
        <item x="258"/>
        <item x="29"/>
        <item x="14"/>
        <item x="40"/>
        <item x="266"/>
        <item x="325"/>
        <item x="280"/>
        <item x="43"/>
        <item x="61"/>
        <item x="129"/>
        <item x="99"/>
        <item x="197"/>
        <item x="229"/>
        <item x="72"/>
        <item x="249"/>
        <item x="105"/>
        <item x="147"/>
        <item x="124"/>
        <item x="39"/>
        <item x="5"/>
        <item x="314"/>
        <item x="214"/>
        <item x="136"/>
        <item x="51"/>
        <item x="68"/>
        <item x="30"/>
        <item x="154"/>
        <item x="80"/>
        <item x="297"/>
        <item x="144"/>
        <item x="273"/>
        <item x="326"/>
        <item x="73"/>
        <item x="323"/>
        <item x="306"/>
        <item x="25"/>
        <item x="164"/>
        <item x="125"/>
        <item x="60"/>
        <item x="8"/>
        <item x="168"/>
        <item x="304"/>
        <item x="153"/>
        <item x="86"/>
        <item x="272"/>
        <item x="263"/>
        <item x="119"/>
        <item x="271"/>
        <item x="278"/>
        <item x="224"/>
        <item x="248"/>
        <item x="133"/>
        <item x="26"/>
        <item x="1"/>
        <item x="163"/>
        <item x="246"/>
        <item x="213"/>
        <item x="290"/>
        <item x="2"/>
        <item x="238"/>
        <item x="317"/>
        <item x="135"/>
        <item x="28"/>
        <item x="95"/>
        <item x="330"/>
        <item x="332"/>
        <item x="307"/>
        <item x="254"/>
        <item x="85"/>
        <item x="253"/>
        <item x="81"/>
        <item x="116"/>
        <item x="101"/>
        <item x="118"/>
        <item x="178"/>
        <item x="33"/>
        <item x="303"/>
        <item x="70"/>
        <item x="177"/>
        <item x="127"/>
        <item x="294"/>
        <item x="285"/>
        <item x="56"/>
        <item x="20"/>
        <item x="189"/>
        <item x="37"/>
        <item x="337"/>
        <item x="200"/>
        <item x="240"/>
        <item x="311"/>
        <item x="270"/>
        <item x="90"/>
        <item x="265"/>
        <item x="74"/>
        <item x="166"/>
        <item x="328"/>
        <item x="301"/>
        <item x="230"/>
        <item x="38"/>
        <item x="139"/>
        <item x="319"/>
        <item x="140"/>
        <item x="316"/>
        <item x="333"/>
        <item x="261"/>
        <item x="302"/>
        <item x="233"/>
        <item x="175"/>
        <item x="190"/>
        <item x="241"/>
        <item x="196"/>
        <item x="179"/>
        <item x="75"/>
        <item x="92"/>
        <item x="274"/>
        <item x="9"/>
        <item x="82"/>
        <item x="286"/>
        <item x="149"/>
        <item x="31"/>
        <item x="78"/>
        <item x="0"/>
        <item x="295"/>
        <item x="182"/>
        <item x="83"/>
        <item x="77"/>
        <item x="338"/>
        <item x="111"/>
        <item x="45"/>
        <item x="91"/>
        <item x="204"/>
        <item x="243"/>
        <item x="6"/>
        <item x="208"/>
        <item x="215"/>
        <item x="187"/>
        <item x="336"/>
        <item x="50"/>
        <item x="170"/>
        <item x="312"/>
        <item x="259"/>
        <item x="339"/>
        <item x="305"/>
        <item x="216"/>
        <item x="130"/>
        <item x="313"/>
        <item x="126"/>
        <item x="59"/>
        <item x="173"/>
        <item x="102"/>
        <item x="141"/>
        <item x="225"/>
        <item x="16"/>
        <item x="122"/>
        <item x="210"/>
        <item x="276"/>
        <item x="120"/>
        <item x="7"/>
        <item x="64"/>
        <item x="226"/>
        <item x="195"/>
        <item x="21"/>
        <item x="57"/>
        <item x="218"/>
        <item x="183"/>
        <item x="22"/>
        <item x="66"/>
        <item x="113"/>
        <item x="242"/>
        <item x="186"/>
        <item x="234"/>
        <item x="69"/>
        <item x="161"/>
        <item x="71"/>
        <item x="217"/>
        <item x="132"/>
        <item x="209"/>
        <item x="203"/>
        <item x="10"/>
        <item x="107"/>
        <item x="110"/>
        <item x="268"/>
        <item x="277"/>
        <item x="281"/>
        <item x="300"/>
        <item x="160"/>
        <item x="184"/>
        <item x="329"/>
        <item x="185"/>
        <item x="192"/>
        <item x="17"/>
        <item x="335"/>
        <item x="296"/>
        <item x="169"/>
        <item x="205"/>
        <item x="3"/>
        <item x="244"/>
        <item x="142"/>
        <item x="251"/>
        <item x="236"/>
        <item x="44"/>
        <item x="282"/>
        <item x="94"/>
        <item x="232"/>
        <item x="108"/>
        <item x="324"/>
        <item x="52"/>
        <item x="212"/>
        <item x="211"/>
        <item x="194"/>
        <item x="143"/>
        <item x="96"/>
        <item x="146"/>
        <item x="106"/>
        <item x="49"/>
        <item x="255"/>
        <item x="11"/>
        <item x="180"/>
        <item x="88"/>
        <item x="114"/>
        <item x="128"/>
        <item x="100"/>
        <item x="287"/>
        <item x="298"/>
        <item x="341"/>
        <item x="123"/>
        <item x="237"/>
        <item x="279"/>
        <item x="165"/>
        <item x="162"/>
        <item x="98"/>
        <item x="207"/>
        <item x="138"/>
        <item x="227"/>
        <item x="35"/>
        <item x="181"/>
        <item x="308"/>
        <item x="201"/>
        <item x="252"/>
        <item x="288"/>
        <item x="219"/>
        <item x="340"/>
        <item x="320"/>
        <item x="79"/>
        <item x="228"/>
        <item x="235"/>
        <item x="284"/>
        <item x="87"/>
        <item x="159"/>
        <item x="176"/>
        <item x="309"/>
        <item x="275"/>
        <item x="93"/>
        <item x="172"/>
        <item x="18"/>
        <item x="174"/>
        <item x="291"/>
        <item x="41"/>
        <item x="4"/>
        <item x="46"/>
        <item x="42"/>
        <item x="299"/>
        <item x="327"/>
        <item x="47"/>
        <item x="131"/>
        <item x="112"/>
        <item x="48"/>
        <item x="65"/>
        <item x="202"/>
        <item x="63"/>
        <item x="188"/>
        <item x="152"/>
        <item x="148"/>
        <item x="269"/>
        <item x="198"/>
        <item x="257"/>
        <item x="206"/>
        <item x="158"/>
        <item x="221"/>
        <item x="318"/>
        <item x="62"/>
        <item x="247"/>
        <item x="103"/>
        <item x="117"/>
        <item x="23"/>
        <item x="157"/>
        <item x="283"/>
        <item x="310"/>
        <item x="223"/>
        <item x="167"/>
        <item x="58"/>
        <item x="239"/>
        <item x="137"/>
        <item x="256"/>
        <item x="150"/>
        <item x="15"/>
        <item x="89"/>
        <item x="27"/>
        <item x="245"/>
        <item x="321"/>
        <item x="19"/>
        <item x="97"/>
        <item x="53"/>
        <item x="115"/>
        <item x="250"/>
        <item x="36"/>
        <item x="104"/>
        <item x="156"/>
        <item x="191"/>
        <item x="109"/>
        <item x="171"/>
        <item x="289"/>
        <item x="292"/>
        <item x="267"/>
        <item x="155"/>
        <item x="145"/>
        <item x="193"/>
        <item x="315"/>
        <item t="default"/>
      </items>
    </pivotField>
    <pivotField showAll="0"/>
    <pivotField showAll="0"/>
    <pivotField showAll="0"/>
    <pivotField showAll="0"/>
    <pivotField numFmtId="9" showAll="0"/>
    <pivotField showAll="0"/>
    <pivotField showAll="0"/>
    <pivotField axis="axisRow" showAll="0">
      <items count="15">
        <item x="0"/>
        <item x="1"/>
        <item x="2"/>
        <item x="3"/>
        <item x="4"/>
        <item x="5"/>
        <item x="6"/>
        <item x="7"/>
        <item x="8"/>
        <item x="9"/>
        <item x="10"/>
        <item x="11"/>
        <item x="12"/>
        <item x="1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Total Amount" fld="6" baseField="0" baseItem="0"/>
  </dataFields>
  <formats count="6">
    <format dxfId="1769">
      <pivotArea type="all" dataOnly="0" outline="0" fieldPosition="0"/>
    </format>
    <format dxfId="1768">
      <pivotArea outline="0" collapsedLevelsAreSubtotals="1" fieldPosition="0"/>
    </format>
    <format dxfId="1767">
      <pivotArea field="15" type="button" dataOnly="0" labelOnly="1" outline="0" axis="axisRow" fieldPosition="0"/>
    </format>
    <format dxfId="1766">
      <pivotArea dataOnly="0" labelOnly="1" fieldPosition="0">
        <references count="1">
          <reference field="15" count="12">
            <x v="1"/>
            <x v="2"/>
            <x v="3"/>
            <x v="4"/>
            <x v="5"/>
            <x v="6"/>
            <x v="7"/>
            <x v="8"/>
            <x v="9"/>
            <x v="10"/>
            <x v="11"/>
            <x v="12"/>
          </reference>
        </references>
      </pivotArea>
    </format>
    <format dxfId="1765">
      <pivotArea dataOnly="0" labelOnly="1" grandRow="1" outline="0" fieldPosition="0"/>
    </format>
    <format dxfId="176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5F8AA1-E1F7-495A-A8C9-0923A03C28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3:C18" firstHeaderRow="1" firstDataRow="1" firstDataCol="1"/>
  <pivotFields count="16">
    <pivotField showAll="0"/>
    <pivotField showAll="0"/>
    <pivotField showAll="0">
      <items count="7">
        <item x="0"/>
        <item x="1"/>
        <item x="5"/>
        <item x="2"/>
        <item x="3"/>
        <item x="4"/>
        <item t="default"/>
      </items>
    </pivotField>
    <pivotField showAll="0">
      <items count="4">
        <item x="0"/>
        <item x="1"/>
        <item x="2"/>
        <item t="default"/>
      </items>
    </pivotField>
    <pivotField showAll="0"/>
    <pivotField showAll="0"/>
    <pivotField dataField="1" showAll="0"/>
    <pivotField numFmtId="14" showAll="0">
      <items count="343">
        <item x="76"/>
        <item x="34"/>
        <item x="334"/>
        <item x="322"/>
        <item x="134"/>
        <item x="54"/>
        <item x="199"/>
        <item x="24"/>
        <item x="151"/>
        <item x="220"/>
        <item x="231"/>
        <item x="32"/>
        <item x="121"/>
        <item x="293"/>
        <item x="84"/>
        <item x="12"/>
        <item x="262"/>
        <item x="260"/>
        <item x="331"/>
        <item x="67"/>
        <item x="55"/>
        <item x="13"/>
        <item x="222"/>
        <item x="264"/>
        <item x="258"/>
        <item x="29"/>
        <item x="14"/>
        <item x="40"/>
        <item x="266"/>
        <item x="325"/>
        <item x="280"/>
        <item x="43"/>
        <item x="61"/>
        <item x="129"/>
        <item x="99"/>
        <item x="197"/>
        <item x="229"/>
        <item x="72"/>
        <item x="249"/>
        <item x="105"/>
        <item x="147"/>
        <item x="124"/>
        <item x="39"/>
        <item x="5"/>
        <item x="314"/>
        <item x="214"/>
        <item x="136"/>
        <item x="51"/>
        <item x="68"/>
        <item x="30"/>
        <item x="154"/>
        <item x="80"/>
        <item x="297"/>
        <item x="144"/>
        <item x="273"/>
        <item x="326"/>
        <item x="73"/>
        <item x="323"/>
        <item x="306"/>
        <item x="25"/>
        <item x="164"/>
        <item x="125"/>
        <item x="60"/>
        <item x="8"/>
        <item x="168"/>
        <item x="304"/>
        <item x="153"/>
        <item x="86"/>
        <item x="272"/>
        <item x="263"/>
        <item x="119"/>
        <item x="271"/>
        <item x="278"/>
        <item x="224"/>
        <item x="248"/>
        <item x="133"/>
        <item x="26"/>
        <item x="1"/>
        <item x="163"/>
        <item x="246"/>
        <item x="213"/>
        <item x="290"/>
        <item x="2"/>
        <item x="238"/>
        <item x="317"/>
        <item x="135"/>
        <item x="28"/>
        <item x="95"/>
        <item x="330"/>
        <item x="332"/>
        <item x="307"/>
        <item x="254"/>
        <item x="85"/>
        <item x="253"/>
        <item x="81"/>
        <item x="116"/>
        <item x="101"/>
        <item x="118"/>
        <item x="178"/>
        <item x="33"/>
        <item x="303"/>
        <item x="70"/>
        <item x="177"/>
        <item x="127"/>
        <item x="294"/>
        <item x="285"/>
        <item x="56"/>
        <item x="20"/>
        <item x="189"/>
        <item x="37"/>
        <item x="337"/>
        <item x="200"/>
        <item x="240"/>
        <item x="311"/>
        <item x="270"/>
        <item x="90"/>
        <item x="265"/>
        <item x="74"/>
        <item x="166"/>
        <item x="328"/>
        <item x="301"/>
        <item x="230"/>
        <item x="38"/>
        <item x="139"/>
        <item x="319"/>
        <item x="140"/>
        <item x="316"/>
        <item x="333"/>
        <item x="261"/>
        <item x="302"/>
        <item x="233"/>
        <item x="175"/>
        <item x="190"/>
        <item x="241"/>
        <item x="196"/>
        <item x="179"/>
        <item x="75"/>
        <item x="92"/>
        <item x="274"/>
        <item x="9"/>
        <item x="82"/>
        <item x="286"/>
        <item x="149"/>
        <item x="31"/>
        <item x="78"/>
        <item x="0"/>
        <item x="295"/>
        <item x="182"/>
        <item x="83"/>
        <item x="77"/>
        <item x="338"/>
        <item x="111"/>
        <item x="45"/>
        <item x="91"/>
        <item x="204"/>
        <item x="243"/>
        <item x="6"/>
        <item x="208"/>
        <item x="215"/>
        <item x="187"/>
        <item x="336"/>
        <item x="50"/>
        <item x="170"/>
        <item x="312"/>
        <item x="259"/>
        <item x="339"/>
        <item x="305"/>
        <item x="216"/>
        <item x="130"/>
        <item x="313"/>
        <item x="126"/>
        <item x="59"/>
        <item x="173"/>
        <item x="102"/>
        <item x="141"/>
        <item x="225"/>
        <item x="16"/>
        <item x="122"/>
        <item x="210"/>
        <item x="276"/>
        <item x="120"/>
        <item x="7"/>
        <item x="64"/>
        <item x="226"/>
        <item x="195"/>
        <item x="21"/>
        <item x="57"/>
        <item x="218"/>
        <item x="183"/>
        <item x="22"/>
        <item x="66"/>
        <item x="113"/>
        <item x="242"/>
        <item x="186"/>
        <item x="234"/>
        <item x="69"/>
        <item x="161"/>
        <item x="71"/>
        <item x="217"/>
        <item x="132"/>
        <item x="209"/>
        <item x="203"/>
        <item x="10"/>
        <item x="107"/>
        <item x="110"/>
        <item x="268"/>
        <item x="277"/>
        <item x="281"/>
        <item x="300"/>
        <item x="160"/>
        <item x="184"/>
        <item x="329"/>
        <item x="185"/>
        <item x="192"/>
        <item x="17"/>
        <item x="335"/>
        <item x="296"/>
        <item x="169"/>
        <item x="205"/>
        <item x="3"/>
        <item x="244"/>
        <item x="142"/>
        <item x="251"/>
        <item x="236"/>
        <item x="44"/>
        <item x="282"/>
        <item x="94"/>
        <item x="232"/>
        <item x="108"/>
        <item x="324"/>
        <item x="52"/>
        <item x="212"/>
        <item x="211"/>
        <item x="194"/>
        <item x="143"/>
        <item x="96"/>
        <item x="146"/>
        <item x="106"/>
        <item x="49"/>
        <item x="255"/>
        <item x="11"/>
        <item x="180"/>
        <item x="88"/>
        <item x="114"/>
        <item x="128"/>
        <item x="100"/>
        <item x="287"/>
        <item x="298"/>
        <item x="341"/>
        <item x="123"/>
        <item x="237"/>
        <item x="279"/>
        <item x="165"/>
        <item x="162"/>
        <item x="98"/>
        <item x="207"/>
        <item x="138"/>
        <item x="227"/>
        <item x="35"/>
        <item x="181"/>
        <item x="308"/>
        <item x="201"/>
        <item x="252"/>
        <item x="288"/>
        <item x="219"/>
        <item x="340"/>
        <item x="320"/>
        <item x="79"/>
        <item x="228"/>
        <item x="235"/>
        <item x="284"/>
        <item x="87"/>
        <item x="159"/>
        <item x="176"/>
        <item x="309"/>
        <item x="275"/>
        <item x="93"/>
        <item x="172"/>
        <item x="18"/>
        <item x="174"/>
        <item x="291"/>
        <item x="41"/>
        <item x="4"/>
        <item x="46"/>
        <item x="42"/>
        <item x="299"/>
        <item x="327"/>
        <item x="47"/>
        <item x="131"/>
        <item x="112"/>
        <item x="48"/>
        <item x="65"/>
        <item x="202"/>
        <item x="63"/>
        <item x="188"/>
        <item x="152"/>
        <item x="148"/>
        <item x="269"/>
        <item x="198"/>
        <item x="257"/>
        <item x="206"/>
        <item x="158"/>
        <item x="221"/>
        <item x="318"/>
        <item x="62"/>
        <item x="247"/>
        <item x="103"/>
        <item x="117"/>
        <item x="23"/>
        <item x="157"/>
        <item x="283"/>
        <item x="310"/>
        <item x="223"/>
        <item x="167"/>
        <item x="58"/>
        <item x="239"/>
        <item x="137"/>
        <item x="256"/>
        <item x="150"/>
        <item x="15"/>
        <item x="89"/>
        <item x="27"/>
        <item x="245"/>
        <item x="321"/>
        <item x="19"/>
        <item x="97"/>
        <item x="53"/>
        <item x="115"/>
        <item x="250"/>
        <item x="36"/>
        <item x="104"/>
        <item x="156"/>
        <item x="191"/>
        <item x="109"/>
        <item x="171"/>
        <item x="289"/>
        <item x="292"/>
        <item x="267"/>
        <item x="155"/>
        <item x="145"/>
        <item x="193"/>
        <item x="315"/>
        <item t="default"/>
      </items>
    </pivotField>
    <pivotField axis="axisRow" showAll="0">
      <items count="5">
        <item x="0"/>
        <item x="3"/>
        <item x="1"/>
        <item x="2"/>
        <item t="default"/>
      </items>
    </pivotField>
    <pivotField showAll="0"/>
    <pivotField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 of Total Amount" fld="6" baseField="0" baseItem="0"/>
  </dataFields>
  <formats count="6">
    <format dxfId="1775">
      <pivotArea type="all" dataOnly="0" outline="0" fieldPosition="0"/>
    </format>
    <format dxfId="1774">
      <pivotArea outline="0" collapsedLevelsAreSubtotals="1" fieldPosition="0"/>
    </format>
    <format dxfId="1773">
      <pivotArea field="8" type="button" dataOnly="0" labelOnly="1" outline="0" axis="axisRow" fieldPosition="0"/>
    </format>
    <format dxfId="1772">
      <pivotArea dataOnly="0" labelOnly="1" fieldPosition="0">
        <references count="1">
          <reference field="8" count="0"/>
        </references>
      </pivotArea>
    </format>
    <format dxfId="1771">
      <pivotArea dataOnly="0" labelOnly="1" grandRow="1" outline="0" fieldPosition="0"/>
    </format>
    <format dxfId="177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0B705A-7922-449F-BAFE-485D0D266C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4:K8" firstHeaderRow="1" firstDataRow="1" firstDataCol="1"/>
  <pivotFields count="16">
    <pivotField showAll="0"/>
    <pivotField showAll="0"/>
    <pivotField showAll="0">
      <items count="7">
        <item x="0"/>
        <item x="1"/>
        <item x="5"/>
        <item x="2"/>
        <item x="3"/>
        <item x="4"/>
        <item t="default"/>
      </items>
    </pivotField>
    <pivotField axis="axisRow" showAll="0">
      <items count="4">
        <item x="0"/>
        <item x="1"/>
        <item x="2"/>
        <item t="default"/>
      </items>
    </pivotField>
    <pivotField showAll="0"/>
    <pivotField showAll="0"/>
    <pivotField showAll="0"/>
    <pivotField numFmtId="14" showAll="0">
      <items count="343">
        <item x="76"/>
        <item x="34"/>
        <item x="334"/>
        <item x="322"/>
        <item x="134"/>
        <item x="54"/>
        <item x="199"/>
        <item x="24"/>
        <item x="151"/>
        <item x="220"/>
        <item x="231"/>
        <item x="32"/>
        <item x="121"/>
        <item x="293"/>
        <item x="84"/>
        <item x="12"/>
        <item x="262"/>
        <item x="260"/>
        <item x="331"/>
        <item x="67"/>
        <item x="55"/>
        <item x="13"/>
        <item x="222"/>
        <item x="264"/>
        <item x="258"/>
        <item x="29"/>
        <item x="14"/>
        <item x="40"/>
        <item x="266"/>
        <item x="325"/>
        <item x="280"/>
        <item x="43"/>
        <item x="61"/>
        <item x="129"/>
        <item x="99"/>
        <item x="197"/>
        <item x="229"/>
        <item x="72"/>
        <item x="249"/>
        <item x="105"/>
        <item x="147"/>
        <item x="124"/>
        <item x="39"/>
        <item x="5"/>
        <item x="314"/>
        <item x="214"/>
        <item x="136"/>
        <item x="51"/>
        <item x="68"/>
        <item x="30"/>
        <item x="154"/>
        <item x="80"/>
        <item x="297"/>
        <item x="144"/>
        <item x="273"/>
        <item x="326"/>
        <item x="73"/>
        <item x="323"/>
        <item x="306"/>
        <item x="25"/>
        <item x="164"/>
        <item x="125"/>
        <item x="60"/>
        <item x="8"/>
        <item x="168"/>
        <item x="304"/>
        <item x="153"/>
        <item x="86"/>
        <item x="272"/>
        <item x="263"/>
        <item x="119"/>
        <item x="271"/>
        <item x="278"/>
        <item x="224"/>
        <item x="248"/>
        <item x="133"/>
        <item x="26"/>
        <item x="1"/>
        <item x="163"/>
        <item x="246"/>
        <item x="213"/>
        <item x="290"/>
        <item x="2"/>
        <item x="238"/>
        <item x="317"/>
        <item x="135"/>
        <item x="28"/>
        <item x="95"/>
        <item x="330"/>
        <item x="332"/>
        <item x="307"/>
        <item x="254"/>
        <item x="85"/>
        <item x="253"/>
        <item x="81"/>
        <item x="116"/>
        <item x="101"/>
        <item x="118"/>
        <item x="178"/>
        <item x="33"/>
        <item x="303"/>
        <item x="70"/>
        <item x="177"/>
        <item x="127"/>
        <item x="294"/>
        <item x="285"/>
        <item x="56"/>
        <item x="20"/>
        <item x="189"/>
        <item x="37"/>
        <item x="337"/>
        <item x="200"/>
        <item x="240"/>
        <item x="311"/>
        <item x="270"/>
        <item x="90"/>
        <item x="265"/>
        <item x="74"/>
        <item x="166"/>
        <item x="328"/>
        <item x="301"/>
        <item x="230"/>
        <item x="38"/>
        <item x="139"/>
        <item x="319"/>
        <item x="140"/>
        <item x="316"/>
        <item x="333"/>
        <item x="261"/>
        <item x="302"/>
        <item x="233"/>
        <item x="175"/>
        <item x="190"/>
        <item x="241"/>
        <item x="196"/>
        <item x="179"/>
        <item x="75"/>
        <item x="92"/>
        <item x="274"/>
        <item x="9"/>
        <item x="82"/>
        <item x="286"/>
        <item x="149"/>
        <item x="31"/>
        <item x="78"/>
        <item x="0"/>
        <item x="295"/>
        <item x="182"/>
        <item x="83"/>
        <item x="77"/>
        <item x="338"/>
        <item x="111"/>
        <item x="45"/>
        <item x="91"/>
        <item x="204"/>
        <item x="243"/>
        <item x="6"/>
        <item x="208"/>
        <item x="215"/>
        <item x="187"/>
        <item x="336"/>
        <item x="50"/>
        <item x="170"/>
        <item x="312"/>
        <item x="259"/>
        <item x="339"/>
        <item x="305"/>
        <item x="216"/>
        <item x="130"/>
        <item x="313"/>
        <item x="126"/>
        <item x="59"/>
        <item x="173"/>
        <item x="102"/>
        <item x="141"/>
        <item x="225"/>
        <item x="16"/>
        <item x="122"/>
        <item x="210"/>
        <item x="276"/>
        <item x="120"/>
        <item x="7"/>
        <item x="64"/>
        <item x="226"/>
        <item x="195"/>
        <item x="21"/>
        <item x="57"/>
        <item x="218"/>
        <item x="183"/>
        <item x="22"/>
        <item x="66"/>
        <item x="113"/>
        <item x="242"/>
        <item x="186"/>
        <item x="234"/>
        <item x="69"/>
        <item x="161"/>
        <item x="71"/>
        <item x="217"/>
        <item x="132"/>
        <item x="209"/>
        <item x="203"/>
        <item x="10"/>
        <item x="107"/>
        <item x="110"/>
        <item x="268"/>
        <item x="277"/>
        <item x="281"/>
        <item x="300"/>
        <item x="160"/>
        <item x="184"/>
        <item x="329"/>
        <item x="185"/>
        <item x="192"/>
        <item x="17"/>
        <item x="335"/>
        <item x="296"/>
        <item x="169"/>
        <item x="205"/>
        <item x="3"/>
        <item x="244"/>
        <item x="142"/>
        <item x="251"/>
        <item x="236"/>
        <item x="44"/>
        <item x="282"/>
        <item x="94"/>
        <item x="232"/>
        <item x="108"/>
        <item x="324"/>
        <item x="52"/>
        <item x="212"/>
        <item x="211"/>
        <item x="194"/>
        <item x="143"/>
        <item x="96"/>
        <item x="146"/>
        <item x="106"/>
        <item x="49"/>
        <item x="255"/>
        <item x="11"/>
        <item x="180"/>
        <item x="88"/>
        <item x="114"/>
        <item x="128"/>
        <item x="100"/>
        <item x="287"/>
        <item x="298"/>
        <item x="341"/>
        <item x="123"/>
        <item x="237"/>
        <item x="279"/>
        <item x="165"/>
        <item x="162"/>
        <item x="98"/>
        <item x="207"/>
        <item x="138"/>
        <item x="227"/>
        <item x="35"/>
        <item x="181"/>
        <item x="308"/>
        <item x="201"/>
        <item x="252"/>
        <item x="288"/>
        <item x="219"/>
        <item x="340"/>
        <item x="320"/>
        <item x="79"/>
        <item x="228"/>
        <item x="235"/>
        <item x="284"/>
        <item x="87"/>
        <item x="159"/>
        <item x="176"/>
        <item x="309"/>
        <item x="275"/>
        <item x="93"/>
        <item x="172"/>
        <item x="18"/>
        <item x="174"/>
        <item x="291"/>
        <item x="41"/>
        <item x="4"/>
        <item x="46"/>
        <item x="42"/>
        <item x="299"/>
        <item x="327"/>
        <item x="47"/>
        <item x="131"/>
        <item x="112"/>
        <item x="48"/>
        <item x="65"/>
        <item x="202"/>
        <item x="63"/>
        <item x="188"/>
        <item x="152"/>
        <item x="148"/>
        <item x="269"/>
        <item x="198"/>
        <item x="257"/>
        <item x="206"/>
        <item x="158"/>
        <item x="221"/>
        <item x="318"/>
        <item x="62"/>
        <item x="247"/>
        <item x="103"/>
        <item x="117"/>
        <item x="23"/>
        <item x="157"/>
        <item x="283"/>
        <item x="310"/>
        <item x="223"/>
        <item x="167"/>
        <item x="58"/>
        <item x="239"/>
        <item x="137"/>
        <item x="256"/>
        <item x="150"/>
        <item x="15"/>
        <item x="89"/>
        <item x="27"/>
        <item x="245"/>
        <item x="321"/>
        <item x="19"/>
        <item x="97"/>
        <item x="53"/>
        <item x="115"/>
        <item x="250"/>
        <item x="36"/>
        <item x="104"/>
        <item x="156"/>
        <item x="191"/>
        <item x="109"/>
        <item x="171"/>
        <item x="289"/>
        <item x="292"/>
        <item x="267"/>
        <item x="155"/>
        <item x="145"/>
        <item x="193"/>
        <item x="315"/>
        <item t="default"/>
      </items>
    </pivotField>
    <pivotField showAll="0"/>
    <pivotField showAll="0"/>
    <pivotField showAll="0"/>
    <pivotField showAll="0"/>
    <pivotField numFmtId="9" showAll="0"/>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Profit" fld="13" baseField="0" baseItem="0"/>
  </dataFields>
  <formats count="6">
    <format dxfId="1781">
      <pivotArea type="all" dataOnly="0" outline="0" fieldPosition="0"/>
    </format>
    <format dxfId="1780">
      <pivotArea outline="0" collapsedLevelsAreSubtotals="1" fieldPosition="0"/>
    </format>
    <format dxfId="1779">
      <pivotArea field="3" type="button" dataOnly="0" labelOnly="1" outline="0" axis="axisRow" fieldPosition="0"/>
    </format>
    <format dxfId="1778">
      <pivotArea dataOnly="0" labelOnly="1" fieldPosition="0">
        <references count="1">
          <reference field="3" count="0"/>
        </references>
      </pivotArea>
    </format>
    <format dxfId="1777">
      <pivotArea dataOnly="0" labelOnly="1" grandRow="1" outline="0" fieldPosition="0"/>
    </format>
    <format dxfId="1776">
      <pivotArea dataOnly="0" labelOnly="1" outline="0" axis="axisValues" fieldPosition="0"/>
    </format>
  </format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016ADA-0BB8-490C-8BFB-AE4B00D680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4:G10" firstHeaderRow="1" firstDataRow="1" firstDataCol="1"/>
  <pivotFields count="16">
    <pivotField showAll="0"/>
    <pivotField showAll="0"/>
    <pivotField showAll="0">
      <items count="7">
        <item x="0"/>
        <item x="1"/>
        <item x="5"/>
        <item x="2"/>
        <item x="3"/>
        <item x="4"/>
        <item t="default"/>
      </items>
    </pivotField>
    <pivotField showAll="0">
      <items count="4">
        <item x="0"/>
        <item x="1"/>
        <item x="2"/>
        <item t="default"/>
      </items>
    </pivotField>
    <pivotField showAll="0"/>
    <pivotField showAll="0"/>
    <pivotField dataField="1" showAll="0"/>
    <pivotField numFmtId="14" showAll="0">
      <items count="343">
        <item x="76"/>
        <item x="34"/>
        <item x="334"/>
        <item x="322"/>
        <item x="134"/>
        <item x="54"/>
        <item x="199"/>
        <item x="24"/>
        <item x="151"/>
        <item x="220"/>
        <item x="231"/>
        <item x="32"/>
        <item x="121"/>
        <item x="293"/>
        <item x="84"/>
        <item x="12"/>
        <item x="262"/>
        <item x="260"/>
        <item x="331"/>
        <item x="67"/>
        <item x="55"/>
        <item x="13"/>
        <item x="222"/>
        <item x="264"/>
        <item x="258"/>
        <item x="29"/>
        <item x="14"/>
        <item x="40"/>
        <item x="266"/>
        <item x="325"/>
        <item x="280"/>
        <item x="43"/>
        <item x="61"/>
        <item x="129"/>
        <item x="99"/>
        <item x="197"/>
        <item x="229"/>
        <item x="72"/>
        <item x="249"/>
        <item x="105"/>
        <item x="147"/>
        <item x="124"/>
        <item x="39"/>
        <item x="5"/>
        <item x="314"/>
        <item x="214"/>
        <item x="136"/>
        <item x="51"/>
        <item x="68"/>
        <item x="30"/>
        <item x="154"/>
        <item x="80"/>
        <item x="297"/>
        <item x="144"/>
        <item x="273"/>
        <item x="326"/>
        <item x="73"/>
        <item x="323"/>
        <item x="306"/>
        <item x="25"/>
        <item x="164"/>
        <item x="125"/>
        <item x="60"/>
        <item x="8"/>
        <item x="168"/>
        <item x="304"/>
        <item x="153"/>
        <item x="86"/>
        <item x="272"/>
        <item x="263"/>
        <item x="119"/>
        <item x="271"/>
        <item x="278"/>
        <item x="224"/>
        <item x="248"/>
        <item x="133"/>
        <item x="26"/>
        <item x="1"/>
        <item x="163"/>
        <item x="246"/>
        <item x="213"/>
        <item x="290"/>
        <item x="2"/>
        <item x="238"/>
        <item x="317"/>
        <item x="135"/>
        <item x="28"/>
        <item x="95"/>
        <item x="330"/>
        <item x="332"/>
        <item x="307"/>
        <item x="254"/>
        <item x="85"/>
        <item x="253"/>
        <item x="81"/>
        <item x="116"/>
        <item x="101"/>
        <item x="118"/>
        <item x="178"/>
        <item x="33"/>
        <item x="303"/>
        <item x="70"/>
        <item x="177"/>
        <item x="127"/>
        <item x="294"/>
        <item x="285"/>
        <item x="56"/>
        <item x="20"/>
        <item x="189"/>
        <item x="37"/>
        <item x="337"/>
        <item x="200"/>
        <item x="240"/>
        <item x="311"/>
        <item x="270"/>
        <item x="90"/>
        <item x="265"/>
        <item x="74"/>
        <item x="166"/>
        <item x="328"/>
        <item x="301"/>
        <item x="230"/>
        <item x="38"/>
        <item x="139"/>
        <item x="319"/>
        <item x="140"/>
        <item x="316"/>
        <item x="333"/>
        <item x="261"/>
        <item x="302"/>
        <item x="233"/>
        <item x="175"/>
        <item x="190"/>
        <item x="241"/>
        <item x="196"/>
        <item x="179"/>
        <item x="75"/>
        <item x="92"/>
        <item x="274"/>
        <item x="9"/>
        <item x="82"/>
        <item x="286"/>
        <item x="149"/>
        <item x="31"/>
        <item x="78"/>
        <item x="0"/>
        <item x="295"/>
        <item x="182"/>
        <item x="83"/>
        <item x="77"/>
        <item x="338"/>
        <item x="111"/>
        <item x="45"/>
        <item x="91"/>
        <item x="204"/>
        <item x="243"/>
        <item x="6"/>
        <item x="208"/>
        <item x="215"/>
        <item x="187"/>
        <item x="336"/>
        <item x="50"/>
        <item x="170"/>
        <item x="312"/>
        <item x="259"/>
        <item x="339"/>
        <item x="305"/>
        <item x="216"/>
        <item x="130"/>
        <item x="313"/>
        <item x="126"/>
        <item x="59"/>
        <item x="173"/>
        <item x="102"/>
        <item x="141"/>
        <item x="225"/>
        <item x="16"/>
        <item x="122"/>
        <item x="210"/>
        <item x="276"/>
        <item x="120"/>
        <item x="7"/>
        <item x="64"/>
        <item x="226"/>
        <item x="195"/>
        <item x="21"/>
        <item x="57"/>
        <item x="218"/>
        <item x="183"/>
        <item x="22"/>
        <item x="66"/>
        <item x="113"/>
        <item x="242"/>
        <item x="186"/>
        <item x="234"/>
        <item x="69"/>
        <item x="161"/>
        <item x="71"/>
        <item x="217"/>
        <item x="132"/>
        <item x="209"/>
        <item x="203"/>
        <item x="10"/>
        <item x="107"/>
        <item x="110"/>
        <item x="268"/>
        <item x="277"/>
        <item x="281"/>
        <item x="300"/>
        <item x="160"/>
        <item x="184"/>
        <item x="329"/>
        <item x="185"/>
        <item x="192"/>
        <item x="17"/>
        <item x="335"/>
        <item x="296"/>
        <item x="169"/>
        <item x="205"/>
        <item x="3"/>
        <item x="244"/>
        <item x="142"/>
        <item x="251"/>
        <item x="236"/>
        <item x="44"/>
        <item x="282"/>
        <item x="94"/>
        <item x="232"/>
        <item x="108"/>
        <item x="324"/>
        <item x="52"/>
        <item x="212"/>
        <item x="211"/>
        <item x="194"/>
        <item x="143"/>
        <item x="96"/>
        <item x="146"/>
        <item x="106"/>
        <item x="49"/>
        <item x="255"/>
        <item x="11"/>
        <item x="180"/>
        <item x="88"/>
        <item x="114"/>
        <item x="128"/>
        <item x="100"/>
        <item x="287"/>
        <item x="298"/>
        <item x="341"/>
        <item x="123"/>
        <item x="237"/>
        <item x="279"/>
        <item x="165"/>
        <item x="162"/>
        <item x="98"/>
        <item x="207"/>
        <item x="138"/>
        <item x="227"/>
        <item x="35"/>
        <item x="181"/>
        <item x="308"/>
        <item x="201"/>
        <item x="252"/>
        <item x="288"/>
        <item x="219"/>
        <item x="340"/>
        <item x="320"/>
        <item x="79"/>
        <item x="228"/>
        <item x="235"/>
        <item x="284"/>
        <item x="87"/>
        <item x="159"/>
        <item x="176"/>
        <item x="309"/>
        <item x="275"/>
        <item x="93"/>
        <item x="172"/>
        <item x="18"/>
        <item x="174"/>
        <item x="291"/>
        <item x="41"/>
        <item x="4"/>
        <item x="46"/>
        <item x="42"/>
        <item x="299"/>
        <item x="327"/>
        <item x="47"/>
        <item x="131"/>
        <item x="112"/>
        <item x="48"/>
        <item x="65"/>
        <item x="202"/>
        <item x="63"/>
        <item x="188"/>
        <item x="152"/>
        <item x="148"/>
        <item x="269"/>
        <item x="198"/>
        <item x="257"/>
        <item x="206"/>
        <item x="158"/>
        <item x="221"/>
        <item x="318"/>
        <item x="62"/>
        <item x="247"/>
        <item x="103"/>
        <item x="117"/>
        <item x="23"/>
        <item x="157"/>
        <item x="283"/>
        <item x="310"/>
        <item x="223"/>
        <item x="167"/>
        <item x="58"/>
        <item x="239"/>
        <item x="137"/>
        <item x="256"/>
        <item x="150"/>
        <item x="15"/>
        <item x="89"/>
        <item x="27"/>
        <item x="245"/>
        <item x="321"/>
        <item x="19"/>
        <item x="97"/>
        <item x="53"/>
        <item x="115"/>
        <item x="250"/>
        <item x="36"/>
        <item x="104"/>
        <item x="156"/>
        <item x="191"/>
        <item x="109"/>
        <item x="171"/>
        <item x="289"/>
        <item x="292"/>
        <item x="267"/>
        <item x="155"/>
        <item x="145"/>
        <item x="193"/>
        <item x="315"/>
        <item t="default"/>
      </items>
    </pivotField>
    <pivotField showAll="0"/>
    <pivotField axis="axisRow" showAll="0">
      <items count="6">
        <item x="3"/>
        <item x="0"/>
        <item x="2"/>
        <item x="4"/>
        <item x="1"/>
        <item t="default"/>
      </items>
    </pivotField>
    <pivotField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Sum of Total Amount" fld="6" baseField="0" baseItem="0"/>
  </dataFields>
  <formats count="6">
    <format dxfId="1787">
      <pivotArea type="all" dataOnly="0" outline="0" fieldPosition="0"/>
    </format>
    <format dxfId="1786">
      <pivotArea outline="0" collapsedLevelsAreSubtotals="1" fieldPosition="0"/>
    </format>
    <format dxfId="1785">
      <pivotArea field="9" type="button" dataOnly="0" labelOnly="1" outline="0" axis="axisRow" fieldPosition="0"/>
    </format>
    <format dxfId="1784">
      <pivotArea dataOnly="0" labelOnly="1" fieldPosition="0">
        <references count="1">
          <reference field="9" count="0"/>
        </references>
      </pivotArea>
    </format>
    <format dxfId="1783">
      <pivotArea dataOnly="0" labelOnly="1" grandRow="1" outline="0" fieldPosition="0"/>
    </format>
    <format dxfId="1782">
      <pivotArea dataOnly="0" labelOnly="1" outline="0" axis="axisValues"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9" count="1" selected="0">
            <x v="0"/>
          </reference>
        </references>
      </pivotArea>
    </chartFormat>
    <chartFormat chart="2" format="9">
      <pivotArea type="data" outline="0" fieldPosition="0">
        <references count="2">
          <reference field="4294967294" count="1" selected="0">
            <x v="0"/>
          </reference>
          <reference field="9" count="1" selected="0">
            <x v="1"/>
          </reference>
        </references>
      </pivotArea>
    </chartFormat>
    <chartFormat chart="2" format="10">
      <pivotArea type="data" outline="0" fieldPosition="0">
        <references count="2">
          <reference field="4294967294" count="1" selected="0">
            <x v="0"/>
          </reference>
          <reference field="9" count="1" selected="0">
            <x v="2"/>
          </reference>
        </references>
      </pivotArea>
    </chartFormat>
    <chartFormat chart="2" format="11">
      <pivotArea type="data" outline="0" fieldPosition="0">
        <references count="2">
          <reference field="4294967294" count="1" selected="0">
            <x v="0"/>
          </reference>
          <reference field="9" count="1" selected="0">
            <x v="3"/>
          </reference>
        </references>
      </pivotArea>
    </chartFormat>
    <chartFormat chart="2" format="12">
      <pivotArea type="data" outline="0" fieldPosition="0">
        <references count="2">
          <reference field="4294967294" count="1" selected="0">
            <x v="0"/>
          </reference>
          <reference field="9" count="1" selected="0">
            <x v="4"/>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FE3D1B-72B1-4E8D-A51E-E845B86D7F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4:O11" firstHeaderRow="1" firstDataRow="1" firstDataCol="1"/>
  <pivotFields count="16">
    <pivotField showAll="0"/>
    <pivotField showAll="0"/>
    <pivotField axis="axisRow" showAll="0">
      <items count="7">
        <item x="0"/>
        <item x="1"/>
        <item x="5"/>
        <item x="2"/>
        <item x="3"/>
        <item x="4"/>
        <item t="default"/>
      </items>
    </pivotField>
    <pivotField showAll="0">
      <items count="4">
        <item x="0"/>
        <item x="1"/>
        <item x="2"/>
        <item t="default"/>
      </items>
    </pivotField>
    <pivotField showAll="0"/>
    <pivotField dataField="1" showAll="0"/>
    <pivotField showAll="0"/>
    <pivotField numFmtId="14" showAll="0">
      <items count="343">
        <item x="76"/>
        <item x="34"/>
        <item x="334"/>
        <item x="322"/>
        <item x="134"/>
        <item x="54"/>
        <item x="199"/>
        <item x="24"/>
        <item x="151"/>
        <item x="220"/>
        <item x="231"/>
        <item x="32"/>
        <item x="121"/>
        <item x="293"/>
        <item x="84"/>
        <item x="12"/>
        <item x="262"/>
        <item x="260"/>
        <item x="331"/>
        <item x="67"/>
        <item x="55"/>
        <item x="13"/>
        <item x="222"/>
        <item x="264"/>
        <item x="258"/>
        <item x="29"/>
        <item x="14"/>
        <item x="40"/>
        <item x="266"/>
        <item x="325"/>
        <item x="280"/>
        <item x="43"/>
        <item x="61"/>
        <item x="129"/>
        <item x="99"/>
        <item x="197"/>
        <item x="229"/>
        <item x="72"/>
        <item x="249"/>
        <item x="105"/>
        <item x="147"/>
        <item x="124"/>
        <item x="39"/>
        <item x="5"/>
        <item x="314"/>
        <item x="214"/>
        <item x="136"/>
        <item x="51"/>
        <item x="68"/>
        <item x="30"/>
        <item x="154"/>
        <item x="80"/>
        <item x="297"/>
        <item x="144"/>
        <item x="273"/>
        <item x="326"/>
        <item x="73"/>
        <item x="323"/>
        <item x="306"/>
        <item x="25"/>
        <item x="164"/>
        <item x="125"/>
        <item x="60"/>
        <item x="8"/>
        <item x="168"/>
        <item x="304"/>
        <item x="153"/>
        <item x="86"/>
        <item x="272"/>
        <item x="263"/>
        <item x="119"/>
        <item x="271"/>
        <item x="278"/>
        <item x="224"/>
        <item x="248"/>
        <item x="133"/>
        <item x="26"/>
        <item x="1"/>
        <item x="163"/>
        <item x="246"/>
        <item x="213"/>
        <item x="290"/>
        <item x="2"/>
        <item x="238"/>
        <item x="317"/>
        <item x="135"/>
        <item x="28"/>
        <item x="95"/>
        <item x="330"/>
        <item x="332"/>
        <item x="307"/>
        <item x="254"/>
        <item x="85"/>
        <item x="253"/>
        <item x="81"/>
        <item x="116"/>
        <item x="101"/>
        <item x="118"/>
        <item x="178"/>
        <item x="33"/>
        <item x="303"/>
        <item x="70"/>
        <item x="177"/>
        <item x="127"/>
        <item x="294"/>
        <item x="285"/>
        <item x="56"/>
        <item x="20"/>
        <item x="189"/>
        <item x="37"/>
        <item x="337"/>
        <item x="200"/>
        <item x="240"/>
        <item x="311"/>
        <item x="270"/>
        <item x="90"/>
        <item x="265"/>
        <item x="74"/>
        <item x="166"/>
        <item x="328"/>
        <item x="301"/>
        <item x="230"/>
        <item x="38"/>
        <item x="139"/>
        <item x="319"/>
        <item x="140"/>
        <item x="316"/>
        <item x="333"/>
        <item x="261"/>
        <item x="302"/>
        <item x="233"/>
        <item x="175"/>
        <item x="190"/>
        <item x="241"/>
        <item x="196"/>
        <item x="179"/>
        <item x="75"/>
        <item x="92"/>
        <item x="274"/>
        <item x="9"/>
        <item x="82"/>
        <item x="286"/>
        <item x="149"/>
        <item x="31"/>
        <item x="78"/>
        <item x="0"/>
        <item x="295"/>
        <item x="182"/>
        <item x="83"/>
        <item x="77"/>
        <item x="338"/>
        <item x="111"/>
        <item x="45"/>
        <item x="91"/>
        <item x="204"/>
        <item x="243"/>
        <item x="6"/>
        <item x="208"/>
        <item x="215"/>
        <item x="187"/>
        <item x="336"/>
        <item x="50"/>
        <item x="170"/>
        <item x="312"/>
        <item x="259"/>
        <item x="339"/>
        <item x="305"/>
        <item x="216"/>
        <item x="130"/>
        <item x="313"/>
        <item x="126"/>
        <item x="59"/>
        <item x="173"/>
        <item x="102"/>
        <item x="141"/>
        <item x="225"/>
        <item x="16"/>
        <item x="122"/>
        <item x="210"/>
        <item x="276"/>
        <item x="120"/>
        <item x="7"/>
        <item x="64"/>
        <item x="226"/>
        <item x="195"/>
        <item x="21"/>
        <item x="57"/>
        <item x="218"/>
        <item x="183"/>
        <item x="22"/>
        <item x="66"/>
        <item x="113"/>
        <item x="242"/>
        <item x="186"/>
        <item x="234"/>
        <item x="69"/>
        <item x="161"/>
        <item x="71"/>
        <item x="217"/>
        <item x="132"/>
        <item x="209"/>
        <item x="203"/>
        <item x="10"/>
        <item x="107"/>
        <item x="110"/>
        <item x="268"/>
        <item x="277"/>
        <item x="281"/>
        <item x="300"/>
        <item x="160"/>
        <item x="184"/>
        <item x="329"/>
        <item x="185"/>
        <item x="192"/>
        <item x="17"/>
        <item x="335"/>
        <item x="296"/>
        <item x="169"/>
        <item x="205"/>
        <item x="3"/>
        <item x="244"/>
        <item x="142"/>
        <item x="251"/>
        <item x="236"/>
        <item x="44"/>
        <item x="282"/>
        <item x="94"/>
        <item x="232"/>
        <item x="108"/>
        <item x="324"/>
        <item x="52"/>
        <item x="212"/>
        <item x="211"/>
        <item x="194"/>
        <item x="143"/>
        <item x="96"/>
        <item x="146"/>
        <item x="106"/>
        <item x="49"/>
        <item x="255"/>
        <item x="11"/>
        <item x="180"/>
        <item x="88"/>
        <item x="114"/>
        <item x="128"/>
        <item x="100"/>
        <item x="287"/>
        <item x="298"/>
        <item x="341"/>
        <item x="123"/>
        <item x="237"/>
        <item x="279"/>
        <item x="165"/>
        <item x="162"/>
        <item x="98"/>
        <item x="207"/>
        <item x="138"/>
        <item x="227"/>
        <item x="35"/>
        <item x="181"/>
        <item x="308"/>
        <item x="201"/>
        <item x="252"/>
        <item x="288"/>
        <item x="219"/>
        <item x="340"/>
        <item x="320"/>
        <item x="79"/>
        <item x="228"/>
        <item x="235"/>
        <item x="284"/>
        <item x="87"/>
        <item x="159"/>
        <item x="176"/>
        <item x="309"/>
        <item x="275"/>
        <item x="93"/>
        <item x="172"/>
        <item x="18"/>
        <item x="174"/>
        <item x="291"/>
        <item x="41"/>
        <item x="4"/>
        <item x="46"/>
        <item x="42"/>
        <item x="299"/>
        <item x="327"/>
        <item x="47"/>
        <item x="131"/>
        <item x="112"/>
        <item x="48"/>
        <item x="65"/>
        <item x="202"/>
        <item x="63"/>
        <item x="188"/>
        <item x="152"/>
        <item x="148"/>
        <item x="269"/>
        <item x="198"/>
        <item x="257"/>
        <item x="206"/>
        <item x="158"/>
        <item x="221"/>
        <item x="318"/>
        <item x="62"/>
        <item x="247"/>
        <item x="103"/>
        <item x="117"/>
        <item x="23"/>
        <item x="157"/>
        <item x="283"/>
        <item x="310"/>
        <item x="223"/>
        <item x="167"/>
        <item x="58"/>
        <item x="239"/>
        <item x="137"/>
        <item x="256"/>
        <item x="150"/>
        <item x="15"/>
        <item x="89"/>
        <item x="27"/>
        <item x="245"/>
        <item x="321"/>
        <item x="19"/>
        <item x="97"/>
        <item x="53"/>
        <item x="115"/>
        <item x="250"/>
        <item x="36"/>
        <item x="104"/>
        <item x="156"/>
        <item x="191"/>
        <item x="109"/>
        <item x="171"/>
        <item x="289"/>
        <item x="292"/>
        <item x="267"/>
        <item x="155"/>
        <item x="145"/>
        <item x="193"/>
        <item x="315"/>
        <item t="default"/>
      </items>
    </pivotField>
    <pivotField showAll="0"/>
    <pivotField showAll="0"/>
    <pivotField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Quantity" fld="5" baseField="0" baseItem="0"/>
  </dataFields>
  <formats count="6">
    <format dxfId="1793">
      <pivotArea type="all" dataOnly="0" outline="0" fieldPosition="0"/>
    </format>
    <format dxfId="1792">
      <pivotArea outline="0" collapsedLevelsAreSubtotals="1" fieldPosition="0"/>
    </format>
    <format dxfId="1791">
      <pivotArea field="2" type="button" dataOnly="0" labelOnly="1" outline="0" axis="axisRow" fieldPosition="0"/>
    </format>
    <format dxfId="1790">
      <pivotArea dataOnly="0" labelOnly="1" fieldPosition="0">
        <references count="1">
          <reference field="2" count="0"/>
        </references>
      </pivotArea>
    </format>
    <format dxfId="1789">
      <pivotArea dataOnly="0" labelOnly="1" grandRow="1" outline="0" fieldPosition="0"/>
    </format>
    <format dxfId="1788">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68A41F-C8BB-463C-B7BD-2D9895179E5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4:K18" firstHeaderRow="1" firstDataRow="1" firstDataCol="1"/>
  <pivotFields count="16">
    <pivotField showAll="0"/>
    <pivotField showAll="0"/>
    <pivotField showAll="0">
      <items count="7">
        <item x="0"/>
        <item x="1"/>
        <item x="5"/>
        <item x="2"/>
        <item x="3"/>
        <item x="4"/>
        <item t="default"/>
      </items>
    </pivotField>
    <pivotField axis="axisRow" showAll="0">
      <items count="4">
        <item x="0"/>
        <item x="1"/>
        <item x="2"/>
        <item t="default"/>
      </items>
    </pivotField>
    <pivotField showAll="0"/>
    <pivotField showAll="0"/>
    <pivotField showAll="0"/>
    <pivotField numFmtId="14" showAll="0">
      <items count="343">
        <item x="76"/>
        <item x="34"/>
        <item x="334"/>
        <item x="322"/>
        <item x="134"/>
        <item x="54"/>
        <item x="199"/>
        <item x="24"/>
        <item x="151"/>
        <item x="220"/>
        <item x="231"/>
        <item x="32"/>
        <item x="121"/>
        <item x="293"/>
        <item x="84"/>
        <item x="12"/>
        <item x="262"/>
        <item x="260"/>
        <item x="331"/>
        <item x="67"/>
        <item x="55"/>
        <item x="13"/>
        <item x="222"/>
        <item x="264"/>
        <item x="258"/>
        <item x="29"/>
        <item x="14"/>
        <item x="40"/>
        <item x="266"/>
        <item x="325"/>
        <item x="280"/>
        <item x="43"/>
        <item x="61"/>
        <item x="129"/>
        <item x="99"/>
        <item x="197"/>
        <item x="229"/>
        <item x="72"/>
        <item x="249"/>
        <item x="105"/>
        <item x="147"/>
        <item x="124"/>
        <item x="39"/>
        <item x="5"/>
        <item x="314"/>
        <item x="214"/>
        <item x="136"/>
        <item x="51"/>
        <item x="68"/>
        <item x="30"/>
        <item x="154"/>
        <item x="80"/>
        <item x="297"/>
        <item x="144"/>
        <item x="273"/>
        <item x="326"/>
        <item x="73"/>
        <item x="323"/>
        <item x="306"/>
        <item x="25"/>
        <item x="164"/>
        <item x="125"/>
        <item x="60"/>
        <item x="8"/>
        <item x="168"/>
        <item x="304"/>
        <item x="153"/>
        <item x="86"/>
        <item x="272"/>
        <item x="263"/>
        <item x="119"/>
        <item x="271"/>
        <item x="278"/>
        <item x="224"/>
        <item x="248"/>
        <item x="133"/>
        <item x="26"/>
        <item x="1"/>
        <item x="163"/>
        <item x="246"/>
        <item x="213"/>
        <item x="290"/>
        <item x="2"/>
        <item x="238"/>
        <item x="317"/>
        <item x="135"/>
        <item x="28"/>
        <item x="95"/>
        <item x="330"/>
        <item x="332"/>
        <item x="307"/>
        <item x="254"/>
        <item x="85"/>
        <item x="253"/>
        <item x="81"/>
        <item x="116"/>
        <item x="101"/>
        <item x="118"/>
        <item x="178"/>
        <item x="33"/>
        <item x="303"/>
        <item x="70"/>
        <item x="177"/>
        <item x="127"/>
        <item x="294"/>
        <item x="285"/>
        <item x="56"/>
        <item x="20"/>
        <item x="189"/>
        <item x="37"/>
        <item x="337"/>
        <item x="200"/>
        <item x="240"/>
        <item x="311"/>
        <item x="270"/>
        <item x="90"/>
        <item x="265"/>
        <item x="74"/>
        <item x="166"/>
        <item x="328"/>
        <item x="301"/>
        <item x="230"/>
        <item x="38"/>
        <item x="139"/>
        <item x="319"/>
        <item x="140"/>
        <item x="316"/>
        <item x="333"/>
        <item x="261"/>
        <item x="302"/>
        <item x="233"/>
        <item x="175"/>
        <item x="190"/>
        <item x="241"/>
        <item x="196"/>
        <item x="179"/>
        <item x="75"/>
        <item x="92"/>
        <item x="274"/>
        <item x="9"/>
        <item x="82"/>
        <item x="286"/>
        <item x="149"/>
        <item x="31"/>
        <item x="78"/>
        <item x="0"/>
        <item x="295"/>
        <item x="182"/>
        <item x="83"/>
        <item x="77"/>
        <item x="338"/>
        <item x="111"/>
        <item x="45"/>
        <item x="91"/>
        <item x="204"/>
        <item x="243"/>
        <item x="6"/>
        <item x="208"/>
        <item x="215"/>
        <item x="187"/>
        <item x="336"/>
        <item x="50"/>
        <item x="170"/>
        <item x="312"/>
        <item x="259"/>
        <item x="339"/>
        <item x="305"/>
        <item x="216"/>
        <item x="130"/>
        <item x="313"/>
        <item x="126"/>
        <item x="59"/>
        <item x="173"/>
        <item x="102"/>
        <item x="141"/>
        <item x="225"/>
        <item x="16"/>
        <item x="122"/>
        <item x="210"/>
        <item x="276"/>
        <item x="120"/>
        <item x="7"/>
        <item x="64"/>
        <item x="226"/>
        <item x="195"/>
        <item x="21"/>
        <item x="57"/>
        <item x="218"/>
        <item x="183"/>
        <item x="22"/>
        <item x="66"/>
        <item x="113"/>
        <item x="242"/>
        <item x="186"/>
        <item x="234"/>
        <item x="69"/>
        <item x="161"/>
        <item x="71"/>
        <item x="217"/>
        <item x="132"/>
        <item x="209"/>
        <item x="203"/>
        <item x="10"/>
        <item x="107"/>
        <item x="110"/>
        <item x="268"/>
        <item x="277"/>
        <item x="281"/>
        <item x="300"/>
        <item x="160"/>
        <item x="184"/>
        <item x="329"/>
        <item x="185"/>
        <item x="192"/>
        <item x="17"/>
        <item x="335"/>
        <item x="296"/>
        <item x="169"/>
        <item x="205"/>
        <item x="3"/>
        <item x="244"/>
        <item x="142"/>
        <item x="251"/>
        <item x="236"/>
        <item x="44"/>
        <item x="282"/>
        <item x="94"/>
        <item x="232"/>
        <item x="108"/>
        <item x="324"/>
        <item x="52"/>
        <item x="212"/>
        <item x="211"/>
        <item x="194"/>
        <item x="143"/>
        <item x="96"/>
        <item x="146"/>
        <item x="106"/>
        <item x="49"/>
        <item x="255"/>
        <item x="11"/>
        <item x="180"/>
        <item x="88"/>
        <item x="114"/>
        <item x="128"/>
        <item x="100"/>
        <item x="287"/>
        <item x="298"/>
        <item x="341"/>
        <item x="123"/>
        <item x="237"/>
        <item x="279"/>
        <item x="165"/>
        <item x="162"/>
        <item x="98"/>
        <item x="207"/>
        <item x="138"/>
        <item x="227"/>
        <item x="35"/>
        <item x="181"/>
        <item x="308"/>
        <item x="201"/>
        <item x="252"/>
        <item x="288"/>
        <item x="219"/>
        <item x="340"/>
        <item x="320"/>
        <item x="79"/>
        <item x="228"/>
        <item x="235"/>
        <item x="284"/>
        <item x="87"/>
        <item x="159"/>
        <item x="176"/>
        <item x="309"/>
        <item x="275"/>
        <item x="93"/>
        <item x="172"/>
        <item x="18"/>
        <item x="174"/>
        <item x="291"/>
        <item x="41"/>
        <item x="4"/>
        <item x="46"/>
        <item x="42"/>
        <item x="299"/>
        <item x="327"/>
        <item x="47"/>
        <item x="131"/>
        <item x="112"/>
        <item x="48"/>
        <item x="65"/>
        <item x="202"/>
        <item x="63"/>
        <item x="188"/>
        <item x="152"/>
        <item x="148"/>
        <item x="269"/>
        <item x="198"/>
        <item x="257"/>
        <item x="206"/>
        <item x="158"/>
        <item x="221"/>
        <item x="318"/>
        <item x="62"/>
        <item x="247"/>
        <item x="103"/>
        <item x="117"/>
        <item x="23"/>
        <item x="157"/>
        <item x="283"/>
        <item x="310"/>
        <item x="223"/>
        <item x="167"/>
        <item x="58"/>
        <item x="239"/>
        <item x="137"/>
        <item x="256"/>
        <item x="150"/>
        <item x="15"/>
        <item x="89"/>
        <item x="27"/>
        <item x="245"/>
        <item x="321"/>
        <item x="19"/>
        <item x="97"/>
        <item x="53"/>
        <item x="115"/>
        <item x="250"/>
        <item x="36"/>
        <item x="104"/>
        <item x="156"/>
        <item x="191"/>
        <item x="109"/>
        <item x="171"/>
        <item x="289"/>
        <item x="292"/>
        <item x="267"/>
        <item x="155"/>
        <item x="145"/>
        <item x="193"/>
        <item x="315"/>
        <item t="default"/>
      </items>
    </pivotField>
    <pivotField showAll="0"/>
    <pivotField showAll="0"/>
    <pivotField showAll="0"/>
    <pivotField showAll="0"/>
    <pivotField dataField="1" numFmtId="9"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Average of Discount" fld="12" subtotal="average" baseField="3" baseItem="0" numFmtId="9"/>
  </dataFields>
  <formats count="6">
    <format dxfId="1799">
      <pivotArea type="all" dataOnly="0" outline="0" fieldPosition="0"/>
    </format>
    <format dxfId="1798">
      <pivotArea outline="0" collapsedLevelsAreSubtotals="1" fieldPosition="0"/>
    </format>
    <format dxfId="1797">
      <pivotArea field="3" type="button" dataOnly="0" labelOnly="1" outline="0" axis="axisRow" fieldPosition="0"/>
    </format>
    <format dxfId="1796">
      <pivotArea dataOnly="0" labelOnly="1" fieldPosition="0">
        <references count="1">
          <reference field="3" count="0"/>
        </references>
      </pivotArea>
    </format>
    <format dxfId="1795">
      <pivotArea dataOnly="0" labelOnly="1" grandRow="1" outline="0" fieldPosition="0"/>
    </format>
    <format dxfId="1794">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E5EB50-F889-4B66-A61E-8043B4DDD16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3:G16" firstHeaderRow="1" firstDataRow="1" firstDataCol="1"/>
  <pivotFields count="16">
    <pivotField showAll="0"/>
    <pivotField showAll="0"/>
    <pivotField showAll="0">
      <items count="7">
        <item x="0"/>
        <item x="1"/>
        <item x="5"/>
        <item x="2"/>
        <item x="3"/>
        <item x="4"/>
        <item t="default"/>
      </items>
    </pivotField>
    <pivotField showAll="0">
      <items count="4">
        <item x="0"/>
        <item x="1"/>
        <item x="2"/>
        <item t="default"/>
      </items>
    </pivotField>
    <pivotField showAll="0"/>
    <pivotField showAll="0"/>
    <pivotField showAll="0"/>
    <pivotField numFmtId="14" showAll="0">
      <items count="343">
        <item x="76"/>
        <item x="34"/>
        <item x="334"/>
        <item x="322"/>
        <item x="134"/>
        <item x="54"/>
        <item x="199"/>
        <item x="24"/>
        <item x="151"/>
        <item x="220"/>
        <item x="231"/>
        <item x="32"/>
        <item x="121"/>
        <item x="293"/>
        <item x="84"/>
        <item x="12"/>
        <item x="262"/>
        <item x="260"/>
        <item x="331"/>
        <item x="67"/>
        <item x="55"/>
        <item x="13"/>
        <item x="222"/>
        <item x="264"/>
        <item x="258"/>
        <item x="29"/>
        <item x="14"/>
        <item x="40"/>
        <item x="266"/>
        <item x="325"/>
        <item x="280"/>
        <item x="43"/>
        <item x="61"/>
        <item x="129"/>
        <item x="99"/>
        <item x="197"/>
        <item x="229"/>
        <item x="72"/>
        <item x="249"/>
        <item x="105"/>
        <item x="147"/>
        <item x="124"/>
        <item x="39"/>
        <item x="5"/>
        <item x="314"/>
        <item x="214"/>
        <item x="136"/>
        <item x="51"/>
        <item x="68"/>
        <item x="30"/>
        <item x="154"/>
        <item x="80"/>
        <item x="297"/>
        <item x="144"/>
        <item x="273"/>
        <item x="326"/>
        <item x="73"/>
        <item x="323"/>
        <item x="306"/>
        <item x="25"/>
        <item x="164"/>
        <item x="125"/>
        <item x="60"/>
        <item x="8"/>
        <item x="168"/>
        <item x="304"/>
        <item x="153"/>
        <item x="86"/>
        <item x="272"/>
        <item x="263"/>
        <item x="119"/>
        <item x="271"/>
        <item x="278"/>
        <item x="224"/>
        <item x="248"/>
        <item x="133"/>
        <item x="26"/>
        <item x="1"/>
        <item x="163"/>
        <item x="246"/>
        <item x="213"/>
        <item x="290"/>
        <item x="2"/>
        <item x="238"/>
        <item x="317"/>
        <item x="135"/>
        <item x="28"/>
        <item x="95"/>
        <item x="330"/>
        <item x="332"/>
        <item x="307"/>
        <item x="254"/>
        <item x="85"/>
        <item x="253"/>
        <item x="81"/>
        <item x="116"/>
        <item x="101"/>
        <item x="118"/>
        <item x="178"/>
        <item x="33"/>
        <item x="303"/>
        <item x="70"/>
        <item x="177"/>
        <item x="127"/>
        <item x="294"/>
        <item x="285"/>
        <item x="56"/>
        <item x="20"/>
        <item x="189"/>
        <item x="37"/>
        <item x="337"/>
        <item x="200"/>
        <item x="240"/>
        <item x="311"/>
        <item x="270"/>
        <item x="90"/>
        <item x="265"/>
        <item x="74"/>
        <item x="166"/>
        <item x="328"/>
        <item x="301"/>
        <item x="230"/>
        <item x="38"/>
        <item x="139"/>
        <item x="319"/>
        <item x="140"/>
        <item x="316"/>
        <item x="333"/>
        <item x="261"/>
        <item x="302"/>
        <item x="233"/>
        <item x="175"/>
        <item x="190"/>
        <item x="241"/>
        <item x="196"/>
        <item x="179"/>
        <item x="75"/>
        <item x="92"/>
        <item x="274"/>
        <item x="9"/>
        <item x="82"/>
        <item x="286"/>
        <item x="149"/>
        <item x="31"/>
        <item x="78"/>
        <item x="0"/>
        <item x="295"/>
        <item x="182"/>
        <item x="83"/>
        <item x="77"/>
        <item x="338"/>
        <item x="111"/>
        <item x="45"/>
        <item x="91"/>
        <item x="204"/>
        <item x="243"/>
        <item x="6"/>
        <item x="208"/>
        <item x="215"/>
        <item x="187"/>
        <item x="336"/>
        <item x="50"/>
        <item x="170"/>
        <item x="312"/>
        <item x="259"/>
        <item x="339"/>
        <item x="305"/>
        <item x="216"/>
        <item x="130"/>
        <item x="313"/>
        <item x="126"/>
        <item x="59"/>
        <item x="173"/>
        <item x="102"/>
        <item x="141"/>
        <item x="225"/>
        <item x="16"/>
        <item x="122"/>
        <item x="210"/>
        <item x="276"/>
        <item x="120"/>
        <item x="7"/>
        <item x="64"/>
        <item x="226"/>
        <item x="195"/>
        <item x="21"/>
        <item x="57"/>
        <item x="218"/>
        <item x="183"/>
        <item x="22"/>
        <item x="66"/>
        <item x="113"/>
        <item x="242"/>
        <item x="186"/>
        <item x="234"/>
        <item x="69"/>
        <item x="161"/>
        <item x="71"/>
        <item x="217"/>
        <item x="132"/>
        <item x="209"/>
        <item x="203"/>
        <item x="10"/>
        <item x="107"/>
        <item x="110"/>
        <item x="268"/>
        <item x="277"/>
        <item x="281"/>
        <item x="300"/>
        <item x="160"/>
        <item x="184"/>
        <item x="329"/>
        <item x="185"/>
        <item x="192"/>
        <item x="17"/>
        <item x="335"/>
        <item x="296"/>
        <item x="169"/>
        <item x="205"/>
        <item x="3"/>
        <item x="244"/>
        <item x="142"/>
        <item x="251"/>
        <item x="236"/>
        <item x="44"/>
        <item x="282"/>
        <item x="94"/>
        <item x="232"/>
        <item x="108"/>
        <item x="324"/>
        <item x="52"/>
        <item x="212"/>
        <item x="211"/>
        <item x="194"/>
        <item x="143"/>
        <item x="96"/>
        <item x="146"/>
        <item x="106"/>
        <item x="49"/>
        <item x="255"/>
        <item x="11"/>
        <item x="180"/>
        <item x="88"/>
        <item x="114"/>
        <item x="128"/>
        <item x="100"/>
        <item x="287"/>
        <item x="298"/>
        <item x="341"/>
        <item x="123"/>
        <item x="237"/>
        <item x="279"/>
        <item x="165"/>
        <item x="162"/>
        <item x="98"/>
        <item x="207"/>
        <item x="138"/>
        <item x="227"/>
        <item x="35"/>
        <item x="181"/>
        <item x="308"/>
        <item x="201"/>
        <item x="252"/>
        <item x="288"/>
        <item x="219"/>
        <item x="340"/>
        <item x="320"/>
        <item x="79"/>
        <item x="228"/>
        <item x="235"/>
        <item x="284"/>
        <item x="87"/>
        <item x="159"/>
        <item x="176"/>
        <item x="309"/>
        <item x="275"/>
        <item x="93"/>
        <item x="172"/>
        <item x="18"/>
        <item x="174"/>
        <item x="291"/>
        <item x="41"/>
        <item x="4"/>
        <item x="46"/>
        <item x="42"/>
        <item x="299"/>
        <item x="327"/>
        <item x="47"/>
        <item x="131"/>
        <item x="112"/>
        <item x="48"/>
        <item x="65"/>
        <item x="202"/>
        <item x="63"/>
        <item x="188"/>
        <item x="152"/>
        <item x="148"/>
        <item x="269"/>
        <item x="198"/>
        <item x="257"/>
        <item x="206"/>
        <item x="158"/>
        <item x="221"/>
        <item x="318"/>
        <item x="62"/>
        <item x="247"/>
        <item x="103"/>
        <item x="117"/>
        <item x="23"/>
        <item x="157"/>
        <item x="283"/>
        <item x="310"/>
        <item x="223"/>
        <item x="167"/>
        <item x="58"/>
        <item x="239"/>
        <item x="137"/>
        <item x="256"/>
        <item x="150"/>
        <item x="15"/>
        <item x="89"/>
        <item x="27"/>
        <item x="245"/>
        <item x="321"/>
        <item x="19"/>
        <item x="97"/>
        <item x="53"/>
        <item x="115"/>
        <item x="250"/>
        <item x="36"/>
        <item x="104"/>
        <item x="156"/>
        <item x="191"/>
        <item x="109"/>
        <item x="171"/>
        <item x="289"/>
        <item x="292"/>
        <item x="267"/>
        <item x="155"/>
        <item x="145"/>
        <item x="193"/>
        <item x="315"/>
        <item t="default"/>
      </items>
    </pivotField>
    <pivotField showAll="0"/>
    <pivotField showAll="0"/>
    <pivotField showAll="0"/>
    <pivotField showAll="0"/>
    <pivotField numFmtId="9" showAll="0"/>
    <pivotField showAll="0"/>
    <pivotField axis="axisRow" dataField="1" showAll="0">
      <items count="3">
        <item x="0"/>
        <item x="1"/>
        <item t="default"/>
      </items>
    </pivotField>
    <pivotField showAll="0">
      <items count="15">
        <item x="0"/>
        <item x="1"/>
        <item x="2"/>
        <item x="3"/>
        <item x="4"/>
        <item x="5"/>
        <item x="6"/>
        <item x="7"/>
        <item x="8"/>
        <item x="9"/>
        <item x="10"/>
        <item x="11"/>
        <item x="12"/>
        <item x="13"/>
        <item t="default"/>
      </items>
    </pivotField>
  </pivotFields>
  <rowFields count="1">
    <field x="14"/>
  </rowFields>
  <rowItems count="3">
    <i>
      <x/>
    </i>
    <i>
      <x v="1"/>
    </i>
    <i t="grand">
      <x/>
    </i>
  </rowItems>
  <colItems count="1">
    <i/>
  </colItems>
  <dataFields count="1">
    <dataField name="Count of Return Status" fld="14" subtotal="count" baseField="0" baseItem="0"/>
  </dataFields>
  <formats count="6">
    <format dxfId="1805">
      <pivotArea type="all" dataOnly="0" outline="0" fieldPosition="0"/>
    </format>
    <format dxfId="1804">
      <pivotArea outline="0" collapsedLevelsAreSubtotals="1" fieldPosition="0"/>
    </format>
    <format dxfId="1803">
      <pivotArea field="14" type="button" dataOnly="0" labelOnly="1" outline="0" axis="axisRow" fieldPosition="0"/>
    </format>
    <format dxfId="1802">
      <pivotArea dataOnly="0" labelOnly="1" fieldPosition="0">
        <references count="1">
          <reference field="14" count="0"/>
        </references>
      </pivotArea>
    </format>
    <format dxfId="1801">
      <pivotArea dataOnly="0" labelOnly="1" grandRow="1" outline="0" fieldPosition="0"/>
    </format>
    <format dxfId="1800">
      <pivotArea dataOnly="0" labelOnly="1" outline="0" axis="axisValues" fieldPosition="0"/>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1"/>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596EA8-7A26-459E-9E3C-D35CEBCFD9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4:C8" firstHeaderRow="1" firstDataRow="1" firstDataCol="1"/>
  <pivotFields count="16">
    <pivotField showAll="0"/>
    <pivotField showAll="0"/>
    <pivotField showAll="0">
      <items count="7">
        <item x="0"/>
        <item x="1"/>
        <item x="5"/>
        <item x="2"/>
        <item x="3"/>
        <item x="4"/>
        <item t="default"/>
      </items>
    </pivotField>
    <pivotField axis="axisRow" showAll="0">
      <items count="4">
        <item x="0"/>
        <item x="1"/>
        <item x="2"/>
        <item t="default"/>
      </items>
    </pivotField>
    <pivotField showAll="0"/>
    <pivotField showAll="0"/>
    <pivotField dataField="1" showAll="0"/>
    <pivotField numFmtId="14" showAll="0">
      <items count="343">
        <item x="76"/>
        <item x="34"/>
        <item x="334"/>
        <item x="322"/>
        <item x="134"/>
        <item x="54"/>
        <item x="199"/>
        <item x="24"/>
        <item x="151"/>
        <item x="220"/>
        <item x="231"/>
        <item x="32"/>
        <item x="121"/>
        <item x="293"/>
        <item x="84"/>
        <item x="12"/>
        <item x="262"/>
        <item x="260"/>
        <item x="331"/>
        <item x="67"/>
        <item x="55"/>
        <item x="13"/>
        <item x="222"/>
        <item x="264"/>
        <item x="258"/>
        <item x="29"/>
        <item x="14"/>
        <item x="40"/>
        <item x="266"/>
        <item x="325"/>
        <item x="280"/>
        <item x="43"/>
        <item x="61"/>
        <item x="129"/>
        <item x="99"/>
        <item x="197"/>
        <item x="229"/>
        <item x="72"/>
        <item x="249"/>
        <item x="105"/>
        <item x="147"/>
        <item x="124"/>
        <item x="39"/>
        <item x="5"/>
        <item x="314"/>
        <item x="214"/>
        <item x="136"/>
        <item x="51"/>
        <item x="68"/>
        <item x="30"/>
        <item x="154"/>
        <item x="80"/>
        <item x="297"/>
        <item x="144"/>
        <item x="273"/>
        <item x="326"/>
        <item x="73"/>
        <item x="323"/>
        <item x="306"/>
        <item x="25"/>
        <item x="164"/>
        <item x="125"/>
        <item x="60"/>
        <item x="8"/>
        <item x="168"/>
        <item x="304"/>
        <item x="153"/>
        <item x="86"/>
        <item x="272"/>
        <item x="263"/>
        <item x="119"/>
        <item x="271"/>
        <item x="278"/>
        <item x="224"/>
        <item x="248"/>
        <item x="133"/>
        <item x="26"/>
        <item x="1"/>
        <item x="163"/>
        <item x="246"/>
        <item x="213"/>
        <item x="290"/>
        <item x="2"/>
        <item x="238"/>
        <item x="317"/>
        <item x="135"/>
        <item x="28"/>
        <item x="95"/>
        <item x="330"/>
        <item x="332"/>
        <item x="307"/>
        <item x="254"/>
        <item x="85"/>
        <item x="253"/>
        <item x="81"/>
        <item x="116"/>
        <item x="101"/>
        <item x="118"/>
        <item x="178"/>
        <item x="33"/>
        <item x="303"/>
        <item x="70"/>
        <item x="177"/>
        <item x="127"/>
        <item x="294"/>
        <item x="285"/>
        <item x="56"/>
        <item x="20"/>
        <item x="189"/>
        <item x="37"/>
        <item x="337"/>
        <item x="200"/>
        <item x="240"/>
        <item x="311"/>
        <item x="270"/>
        <item x="90"/>
        <item x="265"/>
        <item x="74"/>
        <item x="166"/>
        <item x="328"/>
        <item x="301"/>
        <item x="230"/>
        <item x="38"/>
        <item x="139"/>
        <item x="319"/>
        <item x="140"/>
        <item x="316"/>
        <item x="333"/>
        <item x="261"/>
        <item x="302"/>
        <item x="233"/>
        <item x="175"/>
        <item x="190"/>
        <item x="241"/>
        <item x="196"/>
        <item x="179"/>
        <item x="75"/>
        <item x="92"/>
        <item x="274"/>
        <item x="9"/>
        <item x="82"/>
        <item x="286"/>
        <item x="149"/>
        <item x="31"/>
        <item x="78"/>
        <item x="0"/>
        <item x="295"/>
        <item x="182"/>
        <item x="83"/>
        <item x="77"/>
        <item x="338"/>
        <item x="111"/>
        <item x="45"/>
        <item x="91"/>
        <item x="204"/>
        <item x="243"/>
        <item x="6"/>
        <item x="208"/>
        <item x="215"/>
        <item x="187"/>
        <item x="336"/>
        <item x="50"/>
        <item x="170"/>
        <item x="312"/>
        <item x="259"/>
        <item x="339"/>
        <item x="305"/>
        <item x="216"/>
        <item x="130"/>
        <item x="313"/>
        <item x="126"/>
        <item x="59"/>
        <item x="173"/>
        <item x="102"/>
        <item x="141"/>
        <item x="225"/>
        <item x="16"/>
        <item x="122"/>
        <item x="210"/>
        <item x="276"/>
        <item x="120"/>
        <item x="7"/>
        <item x="64"/>
        <item x="226"/>
        <item x="195"/>
        <item x="21"/>
        <item x="57"/>
        <item x="218"/>
        <item x="183"/>
        <item x="22"/>
        <item x="66"/>
        <item x="113"/>
        <item x="242"/>
        <item x="186"/>
        <item x="234"/>
        <item x="69"/>
        <item x="161"/>
        <item x="71"/>
        <item x="217"/>
        <item x="132"/>
        <item x="209"/>
        <item x="203"/>
        <item x="10"/>
        <item x="107"/>
        <item x="110"/>
        <item x="268"/>
        <item x="277"/>
        <item x="281"/>
        <item x="300"/>
        <item x="160"/>
        <item x="184"/>
        <item x="329"/>
        <item x="185"/>
        <item x="192"/>
        <item x="17"/>
        <item x="335"/>
        <item x="296"/>
        <item x="169"/>
        <item x="205"/>
        <item x="3"/>
        <item x="244"/>
        <item x="142"/>
        <item x="251"/>
        <item x="236"/>
        <item x="44"/>
        <item x="282"/>
        <item x="94"/>
        <item x="232"/>
        <item x="108"/>
        <item x="324"/>
        <item x="52"/>
        <item x="212"/>
        <item x="211"/>
        <item x="194"/>
        <item x="143"/>
        <item x="96"/>
        <item x="146"/>
        <item x="106"/>
        <item x="49"/>
        <item x="255"/>
        <item x="11"/>
        <item x="180"/>
        <item x="88"/>
        <item x="114"/>
        <item x="128"/>
        <item x="100"/>
        <item x="287"/>
        <item x="298"/>
        <item x="341"/>
        <item x="123"/>
        <item x="237"/>
        <item x="279"/>
        <item x="165"/>
        <item x="162"/>
        <item x="98"/>
        <item x="207"/>
        <item x="138"/>
        <item x="227"/>
        <item x="35"/>
        <item x="181"/>
        <item x="308"/>
        <item x="201"/>
        <item x="252"/>
        <item x="288"/>
        <item x="219"/>
        <item x="340"/>
        <item x="320"/>
        <item x="79"/>
        <item x="228"/>
        <item x="235"/>
        <item x="284"/>
        <item x="87"/>
        <item x="159"/>
        <item x="176"/>
        <item x="309"/>
        <item x="275"/>
        <item x="93"/>
        <item x="172"/>
        <item x="18"/>
        <item x="174"/>
        <item x="291"/>
        <item x="41"/>
        <item x="4"/>
        <item x="46"/>
        <item x="42"/>
        <item x="299"/>
        <item x="327"/>
        <item x="47"/>
        <item x="131"/>
        <item x="112"/>
        <item x="48"/>
        <item x="65"/>
        <item x="202"/>
        <item x="63"/>
        <item x="188"/>
        <item x="152"/>
        <item x="148"/>
        <item x="269"/>
        <item x="198"/>
        <item x="257"/>
        <item x="206"/>
        <item x="158"/>
        <item x="221"/>
        <item x="318"/>
        <item x="62"/>
        <item x="247"/>
        <item x="103"/>
        <item x="117"/>
        <item x="23"/>
        <item x="157"/>
        <item x="283"/>
        <item x="310"/>
        <item x="223"/>
        <item x="167"/>
        <item x="58"/>
        <item x="239"/>
        <item x="137"/>
        <item x="256"/>
        <item x="150"/>
        <item x="15"/>
        <item x="89"/>
        <item x="27"/>
        <item x="245"/>
        <item x="321"/>
        <item x="19"/>
        <item x="97"/>
        <item x="53"/>
        <item x="115"/>
        <item x="250"/>
        <item x="36"/>
        <item x="104"/>
        <item x="156"/>
        <item x="191"/>
        <item x="109"/>
        <item x="171"/>
        <item x="289"/>
        <item x="292"/>
        <item x="267"/>
        <item x="155"/>
        <item x="145"/>
        <item x="193"/>
        <item x="315"/>
        <item t="default"/>
      </items>
    </pivotField>
    <pivotField showAll="0"/>
    <pivotField showAll="0"/>
    <pivotField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Total Amount" fld="6" baseField="0" baseItem="0"/>
  </dataFields>
  <formats count="18">
    <format dxfId="1823">
      <pivotArea type="all" dataOnly="0" outline="0" fieldPosition="0"/>
    </format>
    <format dxfId="1822">
      <pivotArea outline="0" collapsedLevelsAreSubtotals="1" fieldPosition="0"/>
    </format>
    <format dxfId="1821">
      <pivotArea field="3" type="button" dataOnly="0" labelOnly="1" outline="0" axis="axisRow" fieldPosition="0"/>
    </format>
    <format dxfId="1820">
      <pivotArea dataOnly="0" labelOnly="1" fieldPosition="0">
        <references count="1">
          <reference field="3" count="0"/>
        </references>
      </pivotArea>
    </format>
    <format dxfId="1819">
      <pivotArea dataOnly="0" labelOnly="1" grandRow="1" outline="0" fieldPosition="0"/>
    </format>
    <format dxfId="1818">
      <pivotArea dataOnly="0" labelOnly="1" outline="0" axis="axisValues" fieldPosition="0"/>
    </format>
    <format dxfId="1817">
      <pivotArea type="all" dataOnly="0" outline="0" fieldPosition="0"/>
    </format>
    <format dxfId="1816">
      <pivotArea outline="0" collapsedLevelsAreSubtotals="1" fieldPosition="0"/>
    </format>
    <format dxfId="1815">
      <pivotArea field="3" type="button" dataOnly="0" labelOnly="1" outline="0" axis="axisRow" fieldPosition="0"/>
    </format>
    <format dxfId="1814">
      <pivotArea dataOnly="0" labelOnly="1" fieldPosition="0">
        <references count="1">
          <reference field="3" count="0"/>
        </references>
      </pivotArea>
    </format>
    <format dxfId="1813">
      <pivotArea dataOnly="0" labelOnly="1" grandRow="1" outline="0" fieldPosition="0"/>
    </format>
    <format dxfId="1812">
      <pivotArea dataOnly="0" labelOnly="1" outline="0" axis="axisValues" fieldPosition="0"/>
    </format>
    <format dxfId="1811">
      <pivotArea type="all" dataOnly="0" outline="0" fieldPosition="0"/>
    </format>
    <format dxfId="1810">
      <pivotArea outline="0" collapsedLevelsAreSubtotals="1" fieldPosition="0"/>
    </format>
    <format dxfId="1809">
      <pivotArea field="3" type="button" dataOnly="0" labelOnly="1" outline="0" axis="axisRow" fieldPosition="0"/>
    </format>
    <format dxfId="1808">
      <pivotArea dataOnly="0" labelOnly="1" fieldPosition="0">
        <references count="1">
          <reference field="3" count="0"/>
        </references>
      </pivotArea>
    </format>
    <format dxfId="1807">
      <pivotArea dataOnly="0" labelOnly="1" grandRow="1" outline="0" fieldPosition="0"/>
    </format>
    <format dxfId="180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57A1D8B-07B5-4B06-B3A0-3FB0B822411B}" sourceName="Product">
  <pivotTables>
    <pivotTable tabId="8" name="PivotTable1"/>
    <pivotTable tabId="8" name="PivotTable10"/>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tabular pivotCacheId="2011283294">
      <items count="6">
        <i x="0" s="1"/>
        <i x="1" s="1"/>
        <i x="5"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A455ED-F629-4F97-8F11-E4A719FC4DFA}" sourceName="Category">
  <pivotTables>
    <pivotTable tabId="8" name="PivotTable1"/>
    <pivotTable tabId="8" name="PivotTable10"/>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tabular pivotCacheId="201128329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837A34BD-B13B-473C-855E-4B4EE605F1AA}" sourceName="Months (Order Date)">
  <pivotTables>
    <pivotTable tabId="8" name="PivotTable1"/>
    <pivotTable tabId="8" name="PivotTable10"/>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tabular pivotCacheId="201128329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B571EAE-B3CB-4124-BC81-FA2F1CFFD32B}" cache="Slicer_Product" caption="Product" style="SlicerStyleDark2" rowHeight="234950"/>
  <slicer name="Category" xr10:uid="{E1F87496-D595-4A20-88BB-FEF5AC0FB602}" cache="Slicer_Category" caption="Category" style="SlicerStyleDark2" rowHeight="234950"/>
  <slicer name="Months (Order Date)" xr10:uid="{DE7BEB6B-A532-492A-BC16-BB2ECB6C06AF}" cache="Slicer_Months__Order_Date" caption="Months (Order Date)"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Smokey Glass">
      <a:fillStyleLst>
        <a:solidFill>
          <a:schemeClr val="phClr"/>
        </a:solidFill>
        <a:gradFill rotWithShape="1">
          <a:gsLst>
            <a:gs pos="0">
              <a:schemeClr val="phClr">
                <a:tint val="83000"/>
                <a:shade val="100000"/>
                <a:satMod val="100000"/>
              </a:schemeClr>
            </a:gs>
            <a:gs pos="100000">
              <a:schemeClr val="phClr">
                <a:tint val="61000"/>
                <a:alpha val="100000"/>
                <a:satMod val="180000"/>
              </a:schemeClr>
            </a:gs>
          </a:gsLst>
          <a:path path="circle">
            <a:fillToRect l="100000" t="100000" r="100000" b="100000"/>
          </a:path>
        </a:gradFill>
        <a:gradFill rotWithShape="1">
          <a:gsLst>
            <a:gs pos="0">
              <a:schemeClr val="phClr">
                <a:shade val="85000"/>
              </a:schemeClr>
            </a:gs>
            <a:gs pos="100000">
              <a:schemeClr val="phClr">
                <a:tint val="90000"/>
                <a:alpha val="100000"/>
                <a:satMod val="180000"/>
              </a:schemeClr>
            </a:gs>
          </a:gsLst>
          <a:path path="circle">
            <a:fillToRect l="100000" t="100000" r="100000" b="100000"/>
          </a:path>
        </a:gradFill>
      </a:fillStyleLst>
      <a:lnStyleLst>
        <a:ln w="9525" cap="flat" cmpd="sng" algn="ctr">
          <a:solidFill>
            <a:schemeClr val="phClr"/>
          </a:solidFill>
          <a:prstDash val="solid"/>
        </a:ln>
        <a:ln w="10795" cap="flat" cmpd="sng" algn="ctr">
          <a:solidFill>
            <a:schemeClr val="phClr"/>
          </a:solidFill>
          <a:prstDash val="solid"/>
        </a:ln>
        <a:ln w="15240" cap="flat" cmpd="sng" algn="ctr">
          <a:solidFill>
            <a:schemeClr val="phClr">
              <a:tint val="25000"/>
              <a:alpha val="25000"/>
            </a:schemeClr>
          </a:solidFill>
          <a:prstDash val="solid"/>
        </a:ln>
      </a:lnStyleLst>
      <a:effectStyleLst>
        <a:effectStyle>
          <a:effectLst/>
        </a:effectStyle>
        <a:effectStyle>
          <a:effectLst/>
        </a:effectStyle>
        <a:effectStyle>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3C1B7-48AF-489B-8254-1B25CA7C53D3}">
  <dimension ref="A1:O1001"/>
  <sheetViews>
    <sheetView tabSelected="1" zoomScaleNormal="100" workbookViewId="0">
      <selection activeCell="P6" sqref="P6"/>
    </sheetView>
  </sheetViews>
  <sheetFormatPr defaultRowHeight="14.4" x14ac:dyDescent="0.3"/>
  <cols>
    <col min="1" max="1" width="12.5546875" customWidth="1"/>
    <col min="2" max="2" width="15.5546875" customWidth="1"/>
    <col min="3" max="3" width="12.5546875" customWidth="1"/>
    <col min="4" max="4" width="12.88671875" customWidth="1"/>
    <col min="5" max="5" width="10.109375" customWidth="1"/>
    <col min="6" max="6" width="12.21875" customWidth="1"/>
    <col min="7" max="7" width="17.109375" customWidth="1"/>
    <col min="8" max="8" width="15.33203125" customWidth="1"/>
    <col min="9" max="9" width="20.88671875" customWidth="1"/>
    <col min="10" max="10" width="11.44140625" customWidth="1"/>
    <col min="11" max="11" width="17.21875" customWidth="1"/>
    <col min="12" max="12" width="10.21875" customWidth="1"/>
    <col min="13" max="13" width="13" style="12" customWidth="1"/>
    <col min="14" max="14" width="10.5546875" customWidth="1"/>
    <col min="15" max="15" width="16.109375" customWidth="1"/>
  </cols>
  <sheetData>
    <row r="1" spans="1:15" ht="15.6" x14ac:dyDescent="0.3">
      <c r="A1" s="1" t="s">
        <v>37</v>
      </c>
      <c r="B1" s="1" t="s">
        <v>36</v>
      </c>
      <c r="C1" s="1" t="s">
        <v>0</v>
      </c>
      <c r="D1" s="1" t="s">
        <v>1</v>
      </c>
      <c r="E1" s="1" t="s">
        <v>2</v>
      </c>
      <c r="F1" s="1" t="s">
        <v>3</v>
      </c>
      <c r="G1" s="1" t="s">
        <v>4</v>
      </c>
      <c r="H1" s="1" t="s">
        <v>5</v>
      </c>
      <c r="I1" s="1" t="s">
        <v>6</v>
      </c>
      <c r="J1" s="1" t="s">
        <v>7</v>
      </c>
      <c r="K1" s="1" t="s">
        <v>8</v>
      </c>
      <c r="L1" s="1" t="s">
        <v>9</v>
      </c>
      <c r="M1" s="11" t="s">
        <v>10</v>
      </c>
      <c r="N1" s="1" t="s">
        <v>11</v>
      </c>
      <c r="O1" s="1" t="s">
        <v>12</v>
      </c>
    </row>
    <row r="2" spans="1:15" x14ac:dyDescent="0.3">
      <c r="A2" s="64">
        <v>1</v>
      </c>
      <c r="B2" s="64">
        <v>8575</v>
      </c>
      <c r="C2" s="64" t="s">
        <v>13</v>
      </c>
      <c r="D2" s="64" t="s">
        <v>25</v>
      </c>
      <c r="E2" s="64">
        <v>40335</v>
      </c>
      <c r="F2" s="64">
        <v>4</v>
      </c>
      <c r="G2" s="64">
        <v>161340</v>
      </c>
      <c r="H2" s="65">
        <v>45446</v>
      </c>
      <c r="I2" s="64" t="s">
        <v>15</v>
      </c>
      <c r="J2" s="64" t="s">
        <v>16</v>
      </c>
      <c r="K2" s="64" t="s">
        <v>17</v>
      </c>
      <c r="L2" s="64">
        <v>3</v>
      </c>
      <c r="M2" s="66">
        <v>0.21698388496343127</v>
      </c>
      <c r="N2" s="64">
        <v>13393.82</v>
      </c>
      <c r="O2" s="64" t="s">
        <v>18</v>
      </c>
    </row>
    <row r="3" spans="1:15" x14ac:dyDescent="0.3">
      <c r="A3" s="64">
        <v>2</v>
      </c>
      <c r="B3" s="64">
        <v>4227</v>
      </c>
      <c r="C3" s="64" t="s">
        <v>19</v>
      </c>
      <c r="D3" s="64" t="s">
        <v>14</v>
      </c>
      <c r="E3" s="64">
        <v>13653</v>
      </c>
      <c r="F3" s="64">
        <v>4</v>
      </c>
      <c r="G3" s="64">
        <v>54612</v>
      </c>
      <c r="H3" s="65">
        <v>45372</v>
      </c>
      <c r="I3" s="64" t="s">
        <v>15</v>
      </c>
      <c r="J3" s="64" t="s">
        <v>21</v>
      </c>
      <c r="K3" s="64" t="s">
        <v>17</v>
      </c>
      <c r="L3" s="64">
        <v>3.5</v>
      </c>
      <c r="M3" s="66">
        <v>0.26642020068849337</v>
      </c>
      <c r="N3" s="64">
        <v>1833.86</v>
      </c>
      <c r="O3" s="64" t="s">
        <v>22</v>
      </c>
    </row>
    <row r="4" spans="1:15" x14ac:dyDescent="0.3">
      <c r="A4" s="64">
        <v>3</v>
      </c>
      <c r="B4" s="64">
        <v>9934</v>
      </c>
      <c r="C4" s="64" t="s">
        <v>23</v>
      </c>
      <c r="D4" s="64" t="s">
        <v>14</v>
      </c>
      <c r="E4" s="64">
        <v>38082</v>
      </c>
      <c r="F4" s="64">
        <v>1</v>
      </c>
      <c r="G4" s="64">
        <v>38082</v>
      </c>
      <c r="H4" s="65">
        <v>45378</v>
      </c>
      <c r="I4" s="64" t="s">
        <v>15</v>
      </c>
      <c r="J4" s="64" t="s">
        <v>21</v>
      </c>
      <c r="K4" s="64" t="s">
        <v>24</v>
      </c>
      <c r="L4" s="64">
        <v>4.2</v>
      </c>
      <c r="M4" s="66">
        <v>0.19585315897274302</v>
      </c>
      <c r="N4" s="64">
        <v>3966.12</v>
      </c>
      <c r="O4" s="64" t="s">
        <v>18</v>
      </c>
    </row>
    <row r="5" spans="1:15" x14ac:dyDescent="0.3">
      <c r="A5" s="64">
        <v>4</v>
      </c>
      <c r="B5" s="64">
        <v>8854</v>
      </c>
      <c r="C5" s="64" t="s">
        <v>23</v>
      </c>
      <c r="D5" s="64" t="s">
        <v>14</v>
      </c>
      <c r="E5" s="64">
        <v>22294</v>
      </c>
      <c r="F5" s="64">
        <v>1</v>
      </c>
      <c r="G5" s="64">
        <v>22294</v>
      </c>
      <c r="H5" s="65">
        <v>45524</v>
      </c>
      <c r="I5" s="64" t="s">
        <v>26</v>
      </c>
      <c r="J5" s="64" t="s">
        <v>27</v>
      </c>
      <c r="K5" s="64" t="s">
        <v>28</v>
      </c>
      <c r="L5" s="64">
        <v>1.8</v>
      </c>
      <c r="M5" s="66">
        <v>6.4998205795281233E-2</v>
      </c>
      <c r="N5" s="64">
        <v>5239.13</v>
      </c>
      <c r="O5" s="64" t="s">
        <v>18</v>
      </c>
    </row>
    <row r="6" spans="1:15" x14ac:dyDescent="0.3">
      <c r="A6" s="64">
        <v>5</v>
      </c>
      <c r="B6" s="64">
        <v>5330</v>
      </c>
      <c r="C6" s="64" t="s">
        <v>29</v>
      </c>
      <c r="D6" s="64" t="s">
        <v>20</v>
      </c>
      <c r="E6" s="64">
        <v>8165</v>
      </c>
      <c r="F6" s="64">
        <v>4</v>
      </c>
      <c r="G6" s="64">
        <v>32660</v>
      </c>
      <c r="H6" s="65">
        <v>45593</v>
      </c>
      <c r="I6" s="64" t="s">
        <v>30</v>
      </c>
      <c r="J6" s="64" t="s">
        <v>31</v>
      </c>
      <c r="K6" s="64" t="s">
        <v>24</v>
      </c>
      <c r="L6" s="64">
        <v>2.2000000000000002</v>
      </c>
      <c r="M6" s="66">
        <v>8.8939681567666865E-2</v>
      </c>
      <c r="N6" s="64">
        <v>6893.23</v>
      </c>
      <c r="O6" s="64" t="s">
        <v>22</v>
      </c>
    </row>
    <row r="7" spans="1:15" x14ac:dyDescent="0.3">
      <c r="A7" s="64">
        <v>6</v>
      </c>
      <c r="B7" s="64">
        <v>6195</v>
      </c>
      <c r="C7" s="64" t="s">
        <v>32</v>
      </c>
      <c r="D7" s="64" t="s">
        <v>25</v>
      </c>
      <c r="E7" s="64">
        <v>37080</v>
      </c>
      <c r="F7" s="64">
        <v>5</v>
      </c>
      <c r="G7" s="64">
        <v>185400</v>
      </c>
      <c r="H7" s="65">
        <v>45338</v>
      </c>
      <c r="I7" s="64" t="s">
        <v>26</v>
      </c>
      <c r="J7" s="64" t="s">
        <v>21</v>
      </c>
      <c r="K7" s="64" t="s">
        <v>24</v>
      </c>
      <c r="L7" s="64">
        <v>4.0999999999999996</v>
      </c>
      <c r="M7" s="66">
        <v>0.2791309600862999</v>
      </c>
      <c r="N7" s="64">
        <v>3869.12</v>
      </c>
      <c r="O7" s="64" t="s">
        <v>18</v>
      </c>
    </row>
    <row r="8" spans="1:15" x14ac:dyDescent="0.3">
      <c r="A8" s="64">
        <v>7</v>
      </c>
      <c r="B8" s="64">
        <v>3024</v>
      </c>
      <c r="C8" s="64" t="s">
        <v>29</v>
      </c>
      <c r="D8" s="64" t="s">
        <v>20</v>
      </c>
      <c r="E8" s="64">
        <v>27641</v>
      </c>
      <c r="F8" s="64">
        <v>2</v>
      </c>
      <c r="G8" s="64">
        <v>55282</v>
      </c>
      <c r="H8" s="65">
        <v>45457</v>
      </c>
      <c r="I8" s="64" t="s">
        <v>33</v>
      </c>
      <c r="J8" s="64" t="s">
        <v>27</v>
      </c>
      <c r="K8" s="64" t="s">
        <v>24</v>
      </c>
      <c r="L8" s="64">
        <v>2.5</v>
      </c>
      <c r="M8" s="66">
        <v>0.26843981766216851</v>
      </c>
      <c r="N8" s="64">
        <v>1744.71</v>
      </c>
      <c r="O8" s="64" t="s">
        <v>22</v>
      </c>
    </row>
    <row r="9" spans="1:15" x14ac:dyDescent="0.3">
      <c r="A9" s="64">
        <v>8</v>
      </c>
      <c r="B9" s="64">
        <v>9080</v>
      </c>
      <c r="C9" s="64" t="s">
        <v>29</v>
      </c>
      <c r="D9" s="64" t="s">
        <v>20</v>
      </c>
      <c r="E9" s="64">
        <v>35323</v>
      </c>
      <c r="F9" s="64">
        <v>5</v>
      </c>
      <c r="G9" s="64">
        <v>176615</v>
      </c>
      <c r="H9" s="65">
        <v>45484</v>
      </c>
      <c r="I9" s="64" t="s">
        <v>33</v>
      </c>
      <c r="J9" s="64" t="s">
        <v>21</v>
      </c>
      <c r="K9" s="64" t="s">
        <v>17</v>
      </c>
      <c r="L9" s="64">
        <v>4.9000000000000004</v>
      </c>
      <c r="M9" s="66">
        <v>0.2178510319055573</v>
      </c>
      <c r="N9" s="64">
        <v>14508.74</v>
      </c>
      <c r="O9" s="64" t="s">
        <v>22</v>
      </c>
    </row>
    <row r="10" spans="1:15" x14ac:dyDescent="0.3">
      <c r="A10" s="64">
        <v>9</v>
      </c>
      <c r="B10" s="64">
        <v>3049</v>
      </c>
      <c r="C10" s="64" t="s">
        <v>34</v>
      </c>
      <c r="D10" s="64" t="s">
        <v>14</v>
      </c>
      <c r="E10" s="64">
        <v>48951</v>
      </c>
      <c r="F10" s="64">
        <v>4</v>
      </c>
      <c r="G10" s="64">
        <v>195804</v>
      </c>
      <c r="H10" s="65">
        <v>45358</v>
      </c>
      <c r="I10" s="64" t="s">
        <v>33</v>
      </c>
      <c r="J10" s="64" t="s">
        <v>16</v>
      </c>
      <c r="K10" s="64" t="s">
        <v>28</v>
      </c>
      <c r="L10" s="64">
        <v>2.9</v>
      </c>
      <c r="M10" s="66">
        <v>0.17041567077281364</v>
      </c>
      <c r="N10" s="64">
        <v>25373.13</v>
      </c>
      <c r="O10" s="64" t="s">
        <v>22</v>
      </c>
    </row>
    <row r="11" spans="1:15" x14ac:dyDescent="0.3">
      <c r="A11" s="64">
        <v>10</v>
      </c>
      <c r="B11" s="64">
        <v>2953</v>
      </c>
      <c r="C11" s="64" t="s">
        <v>32</v>
      </c>
      <c r="D11" s="64" t="s">
        <v>25</v>
      </c>
      <c r="E11" s="64">
        <v>3128</v>
      </c>
      <c r="F11" s="64">
        <v>4</v>
      </c>
      <c r="G11" s="64">
        <v>12512</v>
      </c>
      <c r="H11" s="65">
        <v>45439</v>
      </c>
      <c r="I11" s="64" t="s">
        <v>33</v>
      </c>
      <c r="J11" s="64" t="s">
        <v>27</v>
      </c>
      <c r="K11" s="64" t="s">
        <v>28</v>
      </c>
      <c r="L11" s="64">
        <v>1.8</v>
      </c>
      <c r="M11" s="66">
        <v>0.13069453324808183</v>
      </c>
      <c r="N11" s="64">
        <v>2118.35</v>
      </c>
      <c r="O11" s="64" t="s">
        <v>18</v>
      </c>
    </row>
    <row r="12" spans="1:15" x14ac:dyDescent="0.3">
      <c r="A12" s="64">
        <v>11</v>
      </c>
      <c r="B12" s="64">
        <v>6860</v>
      </c>
      <c r="C12" s="64" t="s">
        <v>32</v>
      </c>
      <c r="D12" s="64" t="s">
        <v>25</v>
      </c>
      <c r="E12" s="64">
        <v>26619</v>
      </c>
      <c r="F12" s="64">
        <v>3</v>
      </c>
      <c r="G12" s="64">
        <v>79857</v>
      </c>
      <c r="H12" s="65">
        <v>45507</v>
      </c>
      <c r="I12" s="64" t="s">
        <v>26</v>
      </c>
      <c r="J12" s="64" t="s">
        <v>31</v>
      </c>
      <c r="K12" s="64" t="s">
        <v>17</v>
      </c>
      <c r="L12" s="64">
        <v>4.5</v>
      </c>
      <c r="M12" s="66">
        <v>5.2375746647131745E-2</v>
      </c>
      <c r="N12" s="64">
        <v>19774.53</v>
      </c>
      <c r="O12" s="64" t="s">
        <v>18</v>
      </c>
    </row>
    <row r="13" spans="1:15" x14ac:dyDescent="0.3">
      <c r="A13" s="64">
        <v>12</v>
      </c>
      <c r="B13" s="64">
        <v>4368</v>
      </c>
      <c r="C13" s="64" t="s">
        <v>23</v>
      </c>
      <c r="D13" s="64" t="s">
        <v>14</v>
      </c>
      <c r="E13" s="64">
        <v>35187</v>
      </c>
      <c r="F13" s="64">
        <v>1</v>
      </c>
      <c r="G13" s="64">
        <v>35187</v>
      </c>
      <c r="H13" s="65">
        <v>45548</v>
      </c>
      <c r="I13" s="64" t="s">
        <v>15</v>
      </c>
      <c r="J13" s="64" t="s">
        <v>16</v>
      </c>
      <c r="K13" s="64" t="s">
        <v>24</v>
      </c>
      <c r="L13" s="64">
        <v>1.4</v>
      </c>
      <c r="M13" s="66">
        <v>0.21977207491403075</v>
      </c>
      <c r="N13" s="64">
        <v>2822.98</v>
      </c>
      <c r="O13" s="64" t="s">
        <v>18</v>
      </c>
    </row>
    <row r="14" spans="1:15" x14ac:dyDescent="0.3">
      <c r="A14" s="64">
        <v>13</v>
      </c>
      <c r="B14" s="64">
        <v>1500</v>
      </c>
      <c r="C14" s="64" t="s">
        <v>19</v>
      </c>
      <c r="D14" s="64" t="s">
        <v>14</v>
      </c>
      <c r="E14" s="64">
        <v>45423</v>
      </c>
      <c r="F14" s="64">
        <v>3</v>
      </c>
      <c r="G14" s="64">
        <v>136269</v>
      </c>
      <c r="H14" s="65">
        <v>45308</v>
      </c>
      <c r="I14" s="64" t="s">
        <v>33</v>
      </c>
      <c r="J14" s="64" t="s">
        <v>35</v>
      </c>
      <c r="K14" s="64" t="s">
        <v>17</v>
      </c>
      <c r="L14" s="64">
        <v>4.7</v>
      </c>
      <c r="M14" s="66">
        <v>0.19157181750801722</v>
      </c>
      <c r="N14" s="64">
        <v>14775.4</v>
      </c>
      <c r="O14" s="64" t="s">
        <v>22</v>
      </c>
    </row>
    <row r="15" spans="1:15" x14ac:dyDescent="0.3">
      <c r="A15" s="64">
        <v>14</v>
      </c>
      <c r="B15" s="64">
        <v>1090</v>
      </c>
      <c r="C15" s="64" t="s">
        <v>34</v>
      </c>
      <c r="D15" s="64" t="s">
        <v>14</v>
      </c>
      <c r="E15" s="64">
        <v>36008</v>
      </c>
      <c r="F15" s="64">
        <v>4</v>
      </c>
      <c r="G15" s="64">
        <v>144032</v>
      </c>
      <c r="H15" s="65">
        <v>45314</v>
      </c>
      <c r="I15" s="64" t="s">
        <v>33</v>
      </c>
      <c r="J15" s="64" t="s">
        <v>31</v>
      </c>
      <c r="K15" s="64" t="s">
        <v>17</v>
      </c>
      <c r="L15" s="64">
        <v>1.9</v>
      </c>
      <c r="M15" s="66">
        <v>0.23234954732281712</v>
      </c>
      <c r="N15" s="64">
        <v>9743.83</v>
      </c>
      <c r="O15" s="64" t="s">
        <v>22</v>
      </c>
    </row>
    <row r="16" spans="1:15" x14ac:dyDescent="0.3">
      <c r="A16" s="64">
        <v>15</v>
      </c>
      <c r="B16" s="64">
        <v>7938</v>
      </c>
      <c r="C16" s="64" t="s">
        <v>19</v>
      </c>
      <c r="D16" s="64" t="s">
        <v>14</v>
      </c>
      <c r="E16" s="64">
        <v>32798</v>
      </c>
      <c r="F16" s="64">
        <v>3</v>
      </c>
      <c r="G16" s="64">
        <v>98394</v>
      </c>
      <c r="H16" s="65">
        <v>45319</v>
      </c>
      <c r="I16" s="64" t="s">
        <v>15</v>
      </c>
      <c r="J16" s="64" t="s">
        <v>31</v>
      </c>
      <c r="K16" s="64" t="s">
        <v>17</v>
      </c>
      <c r="L16" s="64">
        <v>2.5</v>
      </c>
      <c r="M16" s="66">
        <v>0.20979653230888062</v>
      </c>
      <c r="N16" s="64">
        <v>8875.48</v>
      </c>
      <c r="O16" s="64" t="s">
        <v>18</v>
      </c>
    </row>
    <row r="17" spans="1:15" x14ac:dyDescent="0.3">
      <c r="A17" s="64">
        <v>16</v>
      </c>
      <c r="B17" s="64">
        <v>1412</v>
      </c>
      <c r="C17" s="64" t="s">
        <v>13</v>
      </c>
      <c r="D17" s="64" t="s">
        <v>25</v>
      </c>
      <c r="E17" s="64">
        <v>33283</v>
      </c>
      <c r="F17" s="64">
        <v>4</v>
      </c>
      <c r="G17" s="64">
        <v>133132</v>
      </c>
      <c r="H17" s="65">
        <v>45632</v>
      </c>
      <c r="I17" s="64" t="s">
        <v>26</v>
      </c>
      <c r="J17" s="64" t="s">
        <v>35</v>
      </c>
      <c r="K17" s="64" t="s">
        <v>17</v>
      </c>
      <c r="L17" s="64">
        <v>3.8</v>
      </c>
      <c r="M17" s="66">
        <v>5.8615809872908091E-2</v>
      </c>
      <c r="N17" s="64">
        <v>32135.96</v>
      </c>
      <c r="O17" s="64" t="s">
        <v>18</v>
      </c>
    </row>
    <row r="18" spans="1:15" x14ac:dyDescent="0.3">
      <c r="A18" s="64">
        <v>17</v>
      </c>
      <c r="B18" s="64">
        <v>5651</v>
      </c>
      <c r="C18" s="64" t="s">
        <v>19</v>
      </c>
      <c r="D18" s="64" t="s">
        <v>14</v>
      </c>
      <c r="E18" s="64">
        <v>34075</v>
      </c>
      <c r="F18" s="64">
        <v>2</v>
      </c>
      <c r="G18" s="64">
        <v>68150</v>
      </c>
      <c r="H18" s="65">
        <v>45478</v>
      </c>
      <c r="I18" s="64" t="s">
        <v>26</v>
      </c>
      <c r="J18" s="64" t="s">
        <v>31</v>
      </c>
      <c r="K18" s="64" t="s">
        <v>24</v>
      </c>
      <c r="L18" s="64">
        <v>3.3</v>
      </c>
      <c r="M18" s="66">
        <v>0.1654261188554659</v>
      </c>
      <c r="N18" s="64">
        <v>9171.2099999999991</v>
      </c>
      <c r="O18" s="64" t="s">
        <v>22</v>
      </c>
    </row>
    <row r="19" spans="1:15" x14ac:dyDescent="0.3">
      <c r="A19" s="64">
        <v>18</v>
      </c>
      <c r="B19" s="64">
        <v>3930</v>
      </c>
      <c r="C19" s="64" t="s">
        <v>34</v>
      </c>
      <c r="D19" s="64" t="s">
        <v>20</v>
      </c>
      <c r="E19" s="64">
        <v>48707</v>
      </c>
      <c r="F19" s="64">
        <v>2</v>
      </c>
      <c r="G19" s="64">
        <v>97414</v>
      </c>
      <c r="H19" s="65">
        <v>45519</v>
      </c>
      <c r="I19" s="64" t="s">
        <v>26</v>
      </c>
      <c r="J19" s="64" t="s">
        <v>27</v>
      </c>
      <c r="K19" s="64" t="s">
        <v>24</v>
      </c>
      <c r="L19" s="64">
        <v>2.7</v>
      </c>
      <c r="M19" s="66">
        <v>0.20223982179152897</v>
      </c>
      <c r="N19" s="64">
        <v>9523.2099999999991</v>
      </c>
      <c r="O19" s="64" t="s">
        <v>22</v>
      </c>
    </row>
    <row r="20" spans="1:15" x14ac:dyDescent="0.3">
      <c r="A20" s="64">
        <v>19</v>
      </c>
      <c r="B20" s="64">
        <v>1874</v>
      </c>
      <c r="C20" s="64" t="s">
        <v>23</v>
      </c>
      <c r="D20" s="64" t="s">
        <v>14</v>
      </c>
      <c r="E20" s="64">
        <v>19263</v>
      </c>
      <c r="F20" s="64">
        <v>4</v>
      </c>
      <c r="G20" s="64">
        <v>77052</v>
      </c>
      <c r="H20" s="65">
        <v>45589</v>
      </c>
      <c r="I20" s="64" t="s">
        <v>30</v>
      </c>
      <c r="J20" s="64" t="s">
        <v>35</v>
      </c>
      <c r="K20" s="64" t="s">
        <v>28</v>
      </c>
      <c r="L20" s="64">
        <v>3.2</v>
      </c>
      <c r="M20" s="66">
        <v>0.19761446815137829</v>
      </c>
      <c r="N20" s="64">
        <v>7889.01</v>
      </c>
      <c r="O20" s="64" t="s">
        <v>18</v>
      </c>
    </row>
    <row r="21" spans="1:15" x14ac:dyDescent="0.3">
      <c r="A21" s="64">
        <v>20</v>
      </c>
      <c r="B21" s="64">
        <v>6549</v>
      </c>
      <c r="C21" s="64" t="s">
        <v>13</v>
      </c>
      <c r="D21" s="64" t="s">
        <v>25</v>
      </c>
      <c r="E21" s="64">
        <v>5900</v>
      </c>
      <c r="F21" s="64">
        <v>2</v>
      </c>
      <c r="G21" s="64">
        <v>11800</v>
      </c>
      <c r="H21" s="65">
        <v>45637</v>
      </c>
      <c r="I21" s="64" t="s">
        <v>30</v>
      </c>
      <c r="J21" s="64" t="s">
        <v>27</v>
      </c>
      <c r="K21" s="64" t="s">
        <v>17</v>
      </c>
      <c r="L21" s="64">
        <v>1.3</v>
      </c>
      <c r="M21" s="66">
        <v>8.730508474576272E-2</v>
      </c>
      <c r="N21" s="64">
        <v>2509.8000000000002</v>
      </c>
      <c r="O21" s="64" t="s">
        <v>22</v>
      </c>
    </row>
    <row r="22" spans="1:15" x14ac:dyDescent="0.3">
      <c r="A22" s="64">
        <v>21</v>
      </c>
      <c r="B22" s="64">
        <v>6944</v>
      </c>
      <c r="C22" s="64" t="s">
        <v>19</v>
      </c>
      <c r="D22" s="64" t="s">
        <v>14</v>
      </c>
      <c r="E22" s="64">
        <v>26294</v>
      </c>
      <c r="F22" s="64">
        <v>1</v>
      </c>
      <c r="G22" s="64">
        <v>26294</v>
      </c>
      <c r="H22" s="65">
        <v>45406</v>
      </c>
      <c r="I22" s="64" t="s">
        <v>30</v>
      </c>
      <c r="J22" s="64" t="s">
        <v>31</v>
      </c>
      <c r="K22" s="64" t="s">
        <v>28</v>
      </c>
      <c r="L22" s="64">
        <v>2.5</v>
      </c>
      <c r="M22" s="66">
        <v>0.25403095763292005</v>
      </c>
      <c r="N22" s="64">
        <v>1208.71</v>
      </c>
      <c r="O22" s="64" t="s">
        <v>18</v>
      </c>
    </row>
    <row r="23" spans="1:15" x14ac:dyDescent="0.3">
      <c r="A23" s="64">
        <v>22</v>
      </c>
      <c r="B23" s="64">
        <v>1338</v>
      </c>
      <c r="C23" s="64" t="s">
        <v>23</v>
      </c>
      <c r="D23" s="64" t="s">
        <v>25</v>
      </c>
      <c r="E23" s="64">
        <v>16379</v>
      </c>
      <c r="F23" s="64">
        <v>3</v>
      </c>
      <c r="G23" s="64">
        <v>49137</v>
      </c>
      <c r="H23" s="65">
        <v>45488</v>
      </c>
      <c r="I23" s="64" t="s">
        <v>30</v>
      </c>
      <c r="J23" s="64" t="s">
        <v>16</v>
      </c>
      <c r="K23" s="64" t="s">
        <v>17</v>
      </c>
      <c r="L23" s="64">
        <v>2</v>
      </c>
      <c r="M23" s="66">
        <v>7.5739259621059485E-2</v>
      </c>
      <c r="N23" s="64">
        <v>11019.5</v>
      </c>
      <c r="O23" s="64" t="s">
        <v>18</v>
      </c>
    </row>
    <row r="24" spans="1:15" x14ac:dyDescent="0.3">
      <c r="A24" s="64">
        <v>23</v>
      </c>
      <c r="B24" s="64">
        <v>3341</v>
      </c>
      <c r="C24" s="64" t="s">
        <v>13</v>
      </c>
      <c r="D24" s="64" t="s">
        <v>14</v>
      </c>
      <c r="E24" s="64">
        <v>36277</v>
      </c>
      <c r="F24" s="64">
        <v>3</v>
      </c>
      <c r="G24" s="64">
        <v>108831</v>
      </c>
      <c r="H24" s="65">
        <v>45358</v>
      </c>
      <c r="I24" s="64" t="s">
        <v>15</v>
      </c>
      <c r="J24" s="64" t="s">
        <v>16</v>
      </c>
      <c r="K24" s="64" t="s">
        <v>24</v>
      </c>
      <c r="L24" s="64">
        <v>1.4</v>
      </c>
      <c r="M24" s="66">
        <v>0.20919131497459365</v>
      </c>
      <c r="N24" s="64">
        <v>9882.7999999999993</v>
      </c>
      <c r="O24" s="64" t="s">
        <v>22</v>
      </c>
    </row>
    <row r="25" spans="1:15" x14ac:dyDescent="0.3">
      <c r="A25" s="64">
        <v>24</v>
      </c>
      <c r="B25" s="64">
        <v>7049</v>
      </c>
      <c r="C25" s="64" t="s">
        <v>23</v>
      </c>
      <c r="D25" s="64" t="s">
        <v>25</v>
      </c>
      <c r="E25" s="64">
        <v>31725</v>
      </c>
      <c r="F25" s="64">
        <v>1</v>
      </c>
      <c r="G25" s="64">
        <v>31725</v>
      </c>
      <c r="H25" s="65">
        <v>45492</v>
      </c>
      <c r="I25" s="64" t="s">
        <v>30</v>
      </c>
      <c r="J25" s="64" t="s">
        <v>16</v>
      </c>
      <c r="K25" s="64" t="s">
        <v>28</v>
      </c>
      <c r="L25" s="64">
        <v>2.9</v>
      </c>
      <c r="M25" s="66">
        <v>0.15547927501970055</v>
      </c>
      <c r="N25" s="64">
        <v>4584.92</v>
      </c>
      <c r="O25" s="64" t="s">
        <v>22</v>
      </c>
    </row>
    <row r="26" spans="1:15" x14ac:dyDescent="0.3">
      <c r="A26" s="64">
        <v>25</v>
      </c>
      <c r="B26" s="64">
        <v>4125</v>
      </c>
      <c r="C26" s="64" t="s">
        <v>34</v>
      </c>
      <c r="D26" s="64" t="s">
        <v>14</v>
      </c>
      <c r="E26" s="64">
        <v>13903</v>
      </c>
      <c r="F26" s="64">
        <v>2</v>
      </c>
      <c r="G26" s="64">
        <v>27806</v>
      </c>
      <c r="H26" s="65">
        <v>45621</v>
      </c>
      <c r="I26" s="64" t="s">
        <v>33</v>
      </c>
      <c r="J26" s="64" t="s">
        <v>35</v>
      </c>
      <c r="K26" s="64" t="s">
        <v>24</v>
      </c>
      <c r="L26" s="64">
        <v>4.0999999999999996</v>
      </c>
      <c r="M26" s="66">
        <v>7.4839243328777963E-2</v>
      </c>
      <c r="N26" s="64">
        <v>6260.82</v>
      </c>
      <c r="O26" s="64" t="s">
        <v>18</v>
      </c>
    </row>
    <row r="27" spans="1:15" x14ac:dyDescent="0.3">
      <c r="A27" s="64">
        <v>26</v>
      </c>
      <c r="B27" s="64">
        <v>4437</v>
      </c>
      <c r="C27" s="64" t="s">
        <v>34</v>
      </c>
      <c r="D27" s="64" t="s">
        <v>20</v>
      </c>
      <c r="E27" s="64">
        <v>30640</v>
      </c>
      <c r="F27" s="64">
        <v>2</v>
      </c>
      <c r="G27" s="64">
        <v>61280</v>
      </c>
      <c r="H27" s="65">
        <v>45299</v>
      </c>
      <c r="I27" s="64" t="s">
        <v>33</v>
      </c>
      <c r="J27" s="64" t="s">
        <v>31</v>
      </c>
      <c r="K27" s="64" t="s">
        <v>17</v>
      </c>
      <c r="L27" s="64">
        <v>1.4</v>
      </c>
      <c r="M27" s="66">
        <v>0.15346997389033942</v>
      </c>
      <c r="N27" s="64">
        <v>8979.36</v>
      </c>
      <c r="O27" s="64" t="s">
        <v>22</v>
      </c>
    </row>
    <row r="28" spans="1:15" x14ac:dyDescent="0.3">
      <c r="A28" s="64">
        <v>27</v>
      </c>
      <c r="B28" s="64">
        <v>9917</v>
      </c>
      <c r="C28" s="64" t="s">
        <v>32</v>
      </c>
      <c r="D28" s="64" t="s">
        <v>25</v>
      </c>
      <c r="E28" s="64">
        <v>16098</v>
      </c>
      <c r="F28" s="64">
        <v>2</v>
      </c>
      <c r="G28" s="64">
        <v>32196</v>
      </c>
      <c r="H28" s="65">
        <v>45354</v>
      </c>
      <c r="I28" s="64" t="s">
        <v>30</v>
      </c>
      <c r="J28" s="64" t="s">
        <v>35</v>
      </c>
      <c r="K28" s="64" t="s">
        <v>17</v>
      </c>
      <c r="L28" s="64">
        <v>1.2</v>
      </c>
      <c r="M28" s="66">
        <v>0.26356348614734754</v>
      </c>
      <c r="N28" s="64">
        <v>1173.1099999999999</v>
      </c>
      <c r="O28" s="64" t="s">
        <v>22</v>
      </c>
    </row>
    <row r="29" spans="1:15" x14ac:dyDescent="0.3">
      <c r="A29" s="64">
        <v>28</v>
      </c>
      <c r="B29" s="64">
        <v>8420</v>
      </c>
      <c r="C29" s="64" t="s">
        <v>32</v>
      </c>
      <c r="D29" s="64" t="s">
        <v>14</v>
      </c>
      <c r="E29" s="64">
        <v>10448</v>
      </c>
      <c r="F29" s="64">
        <v>1</v>
      </c>
      <c r="G29" s="64">
        <v>10448</v>
      </c>
      <c r="H29" s="65">
        <v>45371</v>
      </c>
      <c r="I29" s="64" t="s">
        <v>26</v>
      </c>
      <c r="J29" s="64" t="s">
        <v>31</v>
      </c>
      <c r="K29" s="64" t="s">
        <v>24</v>
      </c>
      <c r="L29" s="64">
        <v>1.2</v>
      </c>
      <c r="M29" s="66">
        <v>0.15424674578866768</v>
      </c>
      <c r="N29" s="64">
        <v>1522.83</v>
      </c>
      <c r="O29" s="64" t="s">
        <v>18</v>
      </c>
    </row>
    <row r="30" spans="1:15" x14ac:dyDescent="0.3">
      <c r="A30" s="64">
        <v>29</v>
      </c>
      <c r="B30" s="64">
        <v>9302</v>
      </c>
      <c r="C30" s="64" t="s">
        <v>32</v>
      </c>
      <c r="D30" s="64" t="s">
        <v>20</v>
      </c>
      <c r="E30" s="64">
        <v>8942</v>
      </c>
      <c r="F30" s="64">
        <v>3</v>
      </c>
      <c r="G30" s="64">
        <v>26826</v>
      </c>
      <c r="H30" s="65">
        <v>45634</v>
      </c>
      <c r="I30" s="64" t="s">
        <v>30</v>
      </c>
      <c r="J30" s="64" t="s">
        <v>16</v>
      </c>
      <c r="K30" s="64" t="s">
        <v>24</v>
      </c>
      <c r="L30" s="64">
        <v>1.7</v>
      </c>
      <c r="M30" s="66">
        <v>0.23416237978080967</v>
      </c>
      <c r="N30" s="64">
        <v>1766.16</v>
      </c>
      <c r="O30" s="64" t="s">
        <v>18</v>
      </c>
    </row>
    <row r="31" spans="1:15" x14ac:dyDescent="0.3">
      <c r="A31" s="64">
        <v>30</v>
      </c>
      <c r="B31" s="64">
        <v>4517</v>
      </c>
      <c r="C31" s="64" t="s">
        <v>34</v>
      </c>
      <c r="D31" s="64" t="s">
        <v>14</v>
      </c>
      <c r="E31" s="64">
        <v>44557</v>
      </c>
      <c r="F31" s="64">
        <v>4</v>
      </c>
      <c r="G31" s="64">
        <v>178228</v>
      </c>
      <c r="H31" s="65">
        <v>45382</v>
      </c>
      <c r="I31" s="64" t="s">
        <v>33</v>
      </c>
      <c r="J31" s="64" t="s">
        <v>31</v>
      </c>
      <c r="K31" s="64" t="s">
        <v>24</v>
      </c>
      <c r="L31" s="64">
        <v>3.7</v>
      </c>
      <c r="M31" s="66">
        <v>6.5782312543483629E-2</v>
      </c>
      <c r="N31" s="64">
        <v>41744.15</v>
      </c>
      <c r="O31" s="64" t="s">
        <v>22</v>
      </c>
    </row>
    <row r="32" spans="1:15" x14ac:dyDescent="0.3">
      <c r="A32" s="64">
        <v>31</v>
      </c>
      <c r="B32" s="64">
        <v>5072</v>
      </c>
      <c r="C32" s="64" t="s">
        <v>19</v>
      </c>
      <c r="D32" s="64" t="s">
        <v>25</v>
      </c>
      <c r="E32" s="64">
        <v>6285</v>
      </c>
      <c r="F32" s="64">
        <v>2</v>
      </c>
      <c r="G32" s="64">
        <v>12570</v>
      </c>
      <c r="H32" s="65">
        <v>45318</v>
      </c>
      <c r="I32" s="64" t="s">
        <v>26</v>
      </c>
      <c r="J32" s="64" t="s">
        <v>31</v>
      </c>
      <c r="K32" s="64" t="s">
        <v>28</v>
      </c>
      <c r="L32" s="64">
        <v>1.5</v>
      </c>
      <c r="M32" s="66">
        <v>5.3790771678599837E-2</v>
      </c>
      <c r="N32" s="64">
        <v>3094.85</v>
      </c>
      <c r="O32" s="64" t="s">
        <v>18</v>
      </c>
    </row>
    <row r="33" spans="1:15" x14ac:dyDescent="0.3">
      <c r="A33" s="64">
        <v>32</v>
      </c>
      <c r="B33" s="64">
        <v>4298</v>
      </c>
      <c r="C33" s="64" t="s">
        <v>34</v>
      </c>
      <c r="D33" s="64" t="s">
        <v>25</v>
      </c>
      <c r="E33" s="64">
        <v>14202</v>
      </c>
      <c r="F33" s="64">
        <v>1</v>
      </c>
      <c r="G33" s="64">
        <v>14202</v>
      </c>
      <c r="H33" s="65">
        <v>45344</v>
      </c>
      <c r="I33" s="64" t="s">
        <v>30</v>
      </c>
      <c r="J33" s="64" t="s">
        <v>31</v>
      </c>
      <c r="K33" s="64" t="s">
        <v>24</v>
      </c>
      <c r="L33" s="64">
        <v>4.7</v>
      </c>
      <c r="M33" s="66">
        <v>0.22003591043514997</v>
      </c>
      <c r="N33" s="64">
        <v>1135.6500000000001</v>
      </c>
      <c r="O33" s="64" t="s">
        <v>22</v>
      </c>
    </row>
    <row r="34" spans="1:15" x14ac:dyDescent="0.3">
      <c r="A34" s="64">
        <v>33</v>
      </c>
      <c r="B34" s="64">
        <v>4217</v>
      </c>
      <c r="C34" s="64" t="s">
        <v>32</v>
      </c>
      <c r="D34" s="64" t="s">
        <v>20</v>
      </c>
      <c r="E34" s="64">
        <v>49620</v>
      </c>
      <c r="F34" s="64">
        <v>5</v>
      </c>
      <c r="G34" s="64">
        <v>248100</v>
      </c>
      <c r="H34" s="65">
        <v>45443</v>
      </c>
      <c r="I34" s="64" t="s">
        <v>33</v>
      </c>
      <c r="J34" s="64" t="s">
        <v>35</v>
      </c>
      <c r="K34" s="64" t="s">
        <v>17</v>
      </c>
      <c r="L34" s="64">
        <v>3.3</v>
      </c>
      <c r="M34" s="66">
        <v>7.4051148730350666E-2</v>
      </c>
      <c r="N34" s="64">
        <v>56057.91</v>
      </c>
      <c r="O34" s="64" t="s">
        <v>18</v>
      </c>
    </row>
    <row r="35" spans="1:15" x14ac:dyDescent="0.3">
      <c r="A35" s="64">
        <v>34</v>
      </c>
      <c r="B35" s="64">
        <v>1956</v>
      </c>
      <c r="C35" s="64" t="s">
        <v>13</v>
      </c>
      <c r="D35" s="64" t="s">
        <v>25</v>
      </c>
      <c r="E35" s="64">
        <v>8298</v>
      </c>
      <c r="F35" s="64">
        <v>4</v>
      </c>
      <c r="G35" s="64">
        <v>33192</v>
      </c>
      <c r="H35" s="65">
        <v>45303</v>
      </c>
      <c r="I35" s="64" t="s">
        <v>26</v>
      </c>
      <c r="J35" s="64" t="s">
        <v>27</v>
      </c>
      <c r="K35" s="64" t="s">
        <v>17</v>
      </c>
      <c r="L35" s="64">
        <v>4.7</v>
      </c>
      <c r="M35" s="66">
        <v>5.5817968185104844E-2</v>
      </c>
      <c r="N35" s="64">
        <v>8104.89</v>
      </c>
      <c r="O35" s="64" t="s">
        <v>22</v>
      </c>
    </row>
    <row r="36" spans="1:15" x14ac:dyDescent="0.3">
      <c r="A36" s="64">
        <v>35</v>
      </c>
      <c r="B36" s="64">
        <v>9390</v>
      </c>
      <c r="C36" s="64" t="s">
        <v>29</v>
      </c>
      <c r="D36" s="64" t="s">
        <v>14</v>
      </c>
      <c r="E36" s="64">
        <v>43983</v>
      </c>
      <c r="F36" s="64">
        <v>1</v>
      </c>
      <c r="G36" s="64">
        <v>43983</v>
      </c>
      <c r="H36" s="65">
        <v>45396</v>
      </c>
      <c r="I36" s="64" t="s">
        <v>26</v>
      </c>
      <c r="J36" s="64" t="s">
        <v>27</v>
      </c>
      <c r="K36" s="64" t="s">
        <v>24</v>
      </c>
      <c r="L36" s="64">
        <v>3.7</v>
      </c>
      <c r="M36" s="66">
        <v>0.24164268012641249</v>
      </c>
      <c r="N36" s="64">
        <v>2566.73</v>
      </c>
      <c r="O36" s="64" t="s">
        <v>22</v>
      </c>
    </row>
    <row r="37" spans="1:15" x14ac:dyDescent="0.3">
      <c r="A37" s="64">
        <v>36</v>
      </c>
      <c r="B37" s="64">
        <v>5238</v>
      </c>
      <c r="C37" s="64" t="s">
        <v>32</v>
      </c>
      <c r="D37" s="64" t="s">
        <v>25</v>
      </c>
      <c r="E37" s="64">
        <v>41120</v>
      </c>
      <c r="F37" s="64">
        <v>2</v>
      </c>
      <c r="G37" s="64">
        <v>82240</v>
      </c>
      <c r="H37" s="65">
        <v>45293</v>
      </c>
      <c r="I37" s="64" t="s">
        <v>30</v>
      </c>
      <c r="J37" s="64" t="s">
        <v>21</v>
      </c>
      <c r="K37" s="64" t="s">
        <v>17</v>
      </c>
      <c r="L37" s="64">
        <v>2.7</v>
      </c>
      <c r="M37" s="66">
        <v>0.2074761673151751</v>
      </c>
      <c r="N37" s="64">
        <v>7609.16</v>
      </c>
      <c r="O37" s="64" t="s">
        <v>22</v>
      </c>
    </row>
    <row r="38" spans="1:15" x14ac:dyDescent="0.3">
      <c r="A38" s="64">
        <v>37</v>
      </c>
      <c r="B38" s="64">
        <v>6187</v>
      </c>
      <c r="C38" s="64" t="s">
        <v>19</v>
      </c>
      <c r="D38" s="64" t="s">
        <v>25</v>
      </c>
      <c r="E38" s="64">
        <v>24170</v>
      </c>
      <c r="F38" s="64">
        <v>5</v>
      </c>
      <c r="G38" s="64">
        <v>120850</v>
      </c>
      <c r="H38" s="65">
        <v>45589</v>
      </c>
      <c r="I38" s="64" t="s">
        <v>33</v>
      </c>
      <c r="J38" s="64" t="s">
        <v>35</v>
      </c>
      <c r="K38" s="64" t="s">
        <v>17</v>
      </c>
      <c r="L38" s="64">
        <v>2.7</v>
      </c>
      <c r="M38" s="66">
        <v>0.23243359536615638</v>
      </c>
      <c r="N38" s="64">
        <v>8165.4</v>
      </c>
      <c r="O38" s="64" t="s">
        <v>18</v>
      </c>
    </row>
    <row r="39" spans="1:15" x14ac:dyDescent="0.3">
      <c r="A39" s="64">
        <v>38</v>
      </c>
      <c r="B39" s="64">
        <v>4566</v>
      </c>
      <c r="C39" s="64" t="s">
        <v>23</v>
      </c>
      <c r="D39" s="64" t="s">
        <v>25</v>
      </c>
      <c r="E39" s="64">
        <v>44953</v>
      </c>
      <c r="F39" s="64">
        <v>2</v>
      </c>
      <c r="G39" s="64">
        <v>89906</v>
      </c>
      <c r="H39" s="65">
        <v>45566</v>
      </c>
      <c r="I39" s="64" t="s">
        <v>26</v>
      </c>
      <c r="J39" s="64" t="s">
        <v>27</v>
      </c>
      <c r="K39" s="64" t="s">
        <v>17</v>
      </c>
      <c r="L39" s="64">
        <v>4.0999999999999996</v>
      </c>
      <c r="M39" s="66">
        <v>0.17073854915133585</v>
      </c>
      <c r="N39" s="64">
        <v>11621.38</v>
      </c>
      <c r="O39" s="64" t="s">
        <v>22</v>
      </c>
    </row>
    <row r="40" spans="1:15" x14ac:dyDescent="0.3">
      <c r="A40" s="64">
        <v>39</v>
      </c>
      <c r="B40" s="64">
        <v>8425</v>
      </c>
      <c r="C40" s="64" t="s">
        <v>29</v>
      </c>
      <c r="D40" s="64" t="s">
        <v>25</v>
      </c>
      <c r="E40" s="64">
        <v>48774</v>
      </c>
      <c r="F40" s="64">
        <v>1</v>
      </c>
      <c r="G40" s="64">
        <v>48774</v>
      </c>
      <c r="H40" s="65">
        <v>45645</v>
      </c>
      <c r="I40" s="64" t="s">
        <v>30</v>
      </c>
      <c r="J40" s="64" t="s">
        <v>35</v>
      </c>
      <c r="K40" s="64" t="s">
        <v>28</v>
      </c>
      <c r="L40" s="64">
        <v>4.7</v>
      </c>
      <c r="M40" s="66">
        <v>0.14062266781481936</v>
      </c>
      <c r="N40" s="64">
        <v>7773.47</v>
      </c>
      <c r="O40" s="64" t="s">
        <v>22</v>
      </c>
    </row>
    <row r="41" spans="1:15" x14ac:dyDescent="0.3">
      <c r="A41" s="64">
        <v>40</v>
      </c>
      <c r="B41" s="64">
        <v>9909</v>
      </c>
      <c r="C41" s="64" t="s">
        <v>19</v>
      </c>
      <c r="D41" s="64" t="s">
        <v>14</v>
      </c>
      <c r="E41" s="64">
        <v>27206</v>
      </c>
      <c r="F41" s="64">
        <v>3</v>
      </c>
      <c r="G41" s="64">
        <v>81618</v>
      </c>
      <c r="H41" s="65">
        <v>45408</v>
      </c>
      <c r="I41" s="64" t="s">
        <v>33</v>
      </c>
      <c r="J41" s="64" t="s">
        <v>27</v>
      </c>
      <c r="K41" s="64" t="s">
        <v>17</v>
      </c>
      <c r="L41" s="64">
        <v>1.7</v>
      </c>
      <c r="M41" s="66">
        <v>0.1775708789727756</v>
      </c>
      <c r="N41" s="64">
        <v>9992.42</v>
      </c>
      <c r="O41" s="64" t="s">
        <v>18</v>
      </c>
    </row>
    <row r="42" spans="1:15" x14ac:dyDescent="0.3">
      <c r="A42" s="64">
        <v>41</v>
      </c>
      <c r="B42" s="64">
        <v>4642</v>
      </c>
      <c r="C42" s="64" t="s">
        <v>29</v>
      </c>
      <c r="D42" s="64" t="s">
        <v>20</v>
      </c>
      <c r="E42" s="64">
        <v>24685</v>
      </c>
      <c r="F42" s="64">
        <v>3</v>
      </c>
      <c r="G42" s="64">
        <v>74055</v>
      </c>
      <c r="H42" s="65">
        <v>45422</v>
      </c>
      <c r="I42" s="64" t="s">
        <v>26</v>
      </c>
      <c r="J42" s="64" t="s">
        <v>27</v>
      </c>
      <c r="K42" s="64" t="s">
        <v>28</v>
      </c>
      <c r="L42" s="64">
        <v>3.8</v>
      </c>
      <c r="M42" s="66">
        <v>0.18472851259199244</v>
      </c>
      <c r="N42" s="64">
        <v>8536.43</v>
      </c>
      <c r="O42" s="64" t="s">
        <v>18</v>
      </c>
    </row>
    <row r="43" spans="1:15" x14ac:dyDescent="0.3">
      <c r="A43" s="64">
        <v>42</v>
      </c>
      <c r="B43" s="64">
        <v>4151</v>
      </c>
      <c r="C43" s="64" t="s">
        <v>32</v>
      </c>
      <c r="D43" s="64" t="s">
        <v>25</v>
      </c>
      <c r="E43" s="64">
        <v>3405</v>
      </c>
      <c r="F43" s="64">
        <v>5</v>
      </c>
      <c r="G43" s="64">
        <v>17025</v>
      </c>
      <c r="H43" s="65">
        <v>45337</v>
      </c>
      <c r="I43" s="64" t="s">
        <v>30</v>
      </c>
      <c r="J43" s="64" t="s">
        <v>16</v>
      </c>
      <c r="K43" s="64" t="s">
        <v>17</v>
      </c>
      <c r="L43" s="64">
        <v>3.6</v>
      </c>
      <c r="M43" s="66">
        <v>0.22545080763582967</v>
      </c>
      <c r="N43" s="64">
        <v>1269.2</v>
      </c>
      <c r="O43" s="64" t="s">
        <v>18</v>
      </c>
    </row>
    <row r="44" spans="1:15" x14ac:dyDescent="0.3">
      <c r="A44" s="64">
        <v>43</v>
      </c>
      <c r="B44" s="64">
        <v>8907</v>
      </c>
      <c r="C44" s="64" t="s">
        <v>29</v>
      </c>
      <c r="D44" s="64" t="s">
        <v>25</v>
      </c>
      <c r="E44" s="64">
        <v>36999</v>
      </c>
      <c r="F44" s="64">
        <v>2</v>
      </c>
      <c r="G44" s="64">
        <v>73998</v>
      </c>
      <c r="H44" s="65">
        <v>45320</v>
      </c>
      <c r="I44" s="64" t="s">
        <v>33</v>
      </c>
      <c r="J44" s="64" t="s">
        <v>21</v>
      </c>
      <c r="K44" s="64" t="s">
        <v>28</v>
      </c>
      <c r="L44" s="64">
        <v>2.8</v>
      </c>
      <c r="M44" s="66">
        <v>0.17686815859888105</v>
      </c>
      <c r="N44" s="64">
        <v>9111.51</v>
      </c>
      <c r="O44" s="64" t="s">
        <v>18</v>
      </c>
    </row>
    <row r="45" spans="1:15" x14ac:dyDescent="0.3">
      <c r="A45" s="64">
        <v>44</v>
      </c>
      <c r="B45" s="64">
        <v>8543</v>
      </c>
      <c r="C45" s="64" t="s">
        <v>13</v>
      </c>
      <c r="D45" s="64" t="s">
        <v>14</v>
      </c>
      <c r="E45" s="64">
        <v>19628</v>
      </c>
      <c r="F45" s="64">
        <v>4</v>
      </c>
      <c r="G45" s="64">
        <v>78512</v>
      </c>
      <c r="H45" s="65">
        <v>45592</v>
      </c>
      <c r="I45" s="64" t="s">
        <v>33</v>
      </c>
      <c r="J45" s="64" t="s">
        <v>31</v>
      </c>
      <c r="K45" s="64" t="s">
        <v>28</v>
      </c>
      <c r="L45" s="64">
        <v>3.2</v>
      </c>
      <c r="M45" s="66">
        <v>9.1724322396576324E-2</v>
      </c>
      <c r="N45" s="64">
        <v>16352.14</v>
      </c>
      <c r="O45" s="64" t="s">
        <v>18</v>
      </c>
    </row>
    <row r="46" spans="1:15" x14ac:dyDescent="0.3">
      <c r="A46" s="64">
        <v>45</v>
      </c>
      <c r="B46" s="64">
        <v>4863</v>
      </c>
      <c r="C46" s="64" t="s">
        <v>13</v>
      </c>
      <c r="D46" s="64" t="s">
        <v>25</v>
      </c>
      <c r="E46" s="64">
        <v>32765</v>
      </c>
      <c r="F46" s="64">
        <v>3</v>
      </c>
      <c r="G46" s="64">
        <v>98295</v>
      </c>
      <c r="H46" s="65">
        <v>45595</v>
      </c>
      <c r="I46" s="64" t="s">
        <v>30</v>
      </c>
      <c r="J46" s="64" t="s">
        <v>16</v>
      </c>
      <c r="K46" s="64" t="s">
        <v>17</v>
      </c>
      <c r="L46" s="64">
        <v>2.4</v>
      </c>
      <c r="M46" s="66">
        <v>0.15850226359428252</v>
      </c>
      <c r="N46" s="64">
        <v>13908.52</v>
      </c>
      <c r="O46" s="64" t="s">
        <v>18</v>
      </c>
    </row>
    <row r="47" spans="1:15" x14ac:dyDescent="0.3">
      <c r="A47" s="64">
        <v>46</v>
      </c>
      <c r="B47" s="64">
        <v>6217</v>
      </c>
      <c r="C47" s="64" t="s">
        <v>32</v>
      </c>
      <c r="D47" s="64" t="s">
        <v>25</v>
      </c>
      <c r="E47" s="64">
        <v>7157</v>
      </c>
      <c r="F47" s="64">
        <v>1</v>
      </c>
      <c r="G47" s="64">
        <v>7157</v>
      </c>
      <c r="H47" s="65">
        <v>45325</v>
      </c>
      <c r="I47" s="64" t="s">
        <v>15</v>
      </c>
      <c r="J47" s="64" t="s">
        <v>31</v>
      </c>
      <c r="K47" s="64" t="s">
        <v>24</v>
      </c>
      <c r="L47" s="64">
        <v>1.8</v>
      </c>
      <c r="M47" s="66">
        <v>0.19557775604303479</v>
      </c>
      <c r="N47" s="64">
        <v>747.35</v>
      </c>
      <c r="O47" s="64" t="s">
        <v>18</v>
      </c>
    </row>
    <row r="48" spans="1:15" x14ac:dyDescent="0.3">
      <c r="A48" s="64">
        <v>47</v>
      </c>
      <c r="B48" s="64">
        <v>8654</v>
      </c>
      <c r="C48" s="64" t="s">
        <v>23</v>
      </c>
      <c r="D48" s="64" t="s">
        <v>14</v>
      </c>
      <c r="E48" s="64">
        <v>13814</v>
      </c>
      <c r="F48" s="64">
        <v>2</v>
      </c>
      <c r="G48" s="64">
        <v>27628</v>
      </c>
      <c r="H48" s="65">
        <v>45396</v>
      </c>
      <c r="I48" s="64" t="s">
        <v>15</v>
      </c>
      <c r="J48" s="64" t="s">
        <v>35</v>
      </c>
      <c r="K48" s="64" t="s">
        <v>24</v>
      </c>
      <c r="L48" s="64">
        <v>2</v>
      </c>
      <c r="M48" s="66">
        <v>8.8024829882727668E-2</v>
      </c>
      <c r="N48" s="64">
        <v>5856.45</v>
      </c>
      <c r="O48" s="64" t="s">
        <v>18</v>
      </c>
    </row>
    <row r="49" spans="1:15" x14ac:dyDescent="0.3">
      <c r="A49" s="64">
        <v>48</v>
      </c>
      <c r="B49" s="64">
        <v>7775</v>
      </c>
      <c r="C49" s="64" t="s">
        <v>34</v>
      </c>
      <c r="D49" s="64" t="s">
        <v>14</v>
      </c>
      <c r="E49" s="64">
        <v>41981</v>
      </c>
      <c r="F49" s="64">
        <v>3</v>
      </c>
      <c r="G49" s="64">
        <v>125943</v>
      </c>
      <c r="H49" s="65">
        <v>45531</v>
      </c>
      <c r="I49" s="64" t="s">
        <v>30</v>
      </c>
      <c r="J49" s="64" t="s">
        <v>27</v>
      </c>
      <c r="K49" s="64" t="s">
        <v>28</v>
      </c>
      <c r="L49" s="64">
        <v>3</v>
      </c>
      <c r="M49" s="66">
        <v>0.2914934533876436</v>
      </c>
      <c r="N49" s="64">
        <v>1071.3399999999999</v>
      </c>
      <c r="O49" s="64" t="s">
        <v>22</v>
      </c>
    </row>
    <row r="50" spans="1:15" x14ac:dyDescent="0.3">
      <c r="A50" s="64">
        <v>49</v>
      </c>
      <c r="B50" s="64">
        <v>9029</v>
      </c>
      <c r="C50" s="64" t="s">
        <v>23</v>
      </c>
      <c r="D50" s="64" t="s">
        <v>14</v>
      </c>
      <c r="E50" s="64">
        <v>7038</v>
      </c>
      <c r="F50" s="64">
        <v>5</v>
      </c>
      <c r="G50" s="64">
        <v>35190</v>
      </c>
      <c r="H50" s="65">
        <v>45320</v>
      </c>
      <c r="I50" s="64" t="s">
        <v>26</v>
      </c>
      <c r="J50" s="64" t="s">
        <v>16</v>
      </c>
      <c r="K50" s="64" t="s">
        <v>28</v>
      </c>
      <c r="L50" s="64">
        <v>4.5999999999999996</v>
      </c>
      <c r="M50" s="66">
        <v>6.5840579710144925E-2</v>
      </c>
      <c r="N50" s="64">
        <v>8240.07</v>
      </c>
      <c r="O50" s="64" t="s">
        <v>18</v>
      </c>
    </row>
    <row r="51" spans="1:15" x14ac:dyDescent="0.3">
      <c r="A51" s="64">
        <v>50</v>
      </c>
      <c r="B51" s="64">
        <v>3728</v>
      </c>
      <c r="C51" s="64" t="s">
        <v>19</v>
      </c>
      <c r="D51" s="64" t="s">
        <v>14</v>
      </c>
      <c r="E51" s="64">
        <v>40690</v>
      </c>
      <c r="F51" s="64">
        <v>5</v>
      </c>
      <c r="G51" s="64">
        <v>203450</v>
      </c>
      <c r="H51" s="65">
        <v>45453</v>
      </c>
      <c r="I51" s="64" t="s">
        <v>15</v>
      </c>
      <c r="J51" s="64" t="s">
        <v>21</v>
      </c>
      <c r="K51" s="64" t="s">
        <v>24</v>
      </c>
      <c r="L51" s="64">
        <v>4.2</v>
      </c>
      <c r="M51" s="66">
        <v>6.5398869501105919E-2</v>
      </c>
      <c r="N51" s="64">
        <v>47729.599999999999</v>
      </c>
      <c r="O51" s="64" t="s">
        <v>18</v>
      </c>
    </row>
    <row r="52" spans="1:15" x14ac:dyDescent="0.3">
      <c r="A52" s="64">
        <v>51</v>
      </c>
      <c r="B52" s="64">
        <v>5410</v>
      </c>
      <c r="C52" s="64" t="s">
        <v>23</v>
      </c>
      <c r="D52" s="64" t="s">
        <v>20</v>
      </c>
      <c r="E52" s="64">
        <v>23195</v>
      </c>
      <c r="F52" s="64">
        <v>1</v>
      </c>
      <c r="G52" s="64">
        <v>23195</v>
      </c>
      <c r="H52" s="65">
        <v>45594</v>
      </c>
      <c r="I52" s="64" t="s">
        <v>33</v>
      </c>
      <c r="J52" s="64" t="s">
        <v>16</v>
      </c>
      <c r="K52" s="64" t="s">
        <v>17</v>
      </c>
      <c r="L52" s="64">
        <v>1.1000000000000001</v>
      </c>
      <c r="M52" s="66">
        <v>0.16864151756844148</v>
      </c>
      <c r="N52" s="64">
        <v>3046.86</v>
      </c>
      <c r="O52" s="64" t="s">
        <v>18</v>
      </c>
    </row>
    <row r="53" spans="1:15" x14ac:dyDescent="0.3">
      <c r="A53" s="64">
        <v>52</v>
      </c>
      <c r="B53" s="64">
        <v>5712</v>
      </c>
      <c r="C53" s="64" t="s">
        <v>32</v>
      </c>
      <c r="D53" s="64" t="s">
        <v>20</v>
      </c>
      <c r="E53" s="64">
        <v>16881</v>
      </c>
      <c r="F53" s="64">
        <v>4</v>
      </c>
      <c r="G53" s="64">
        <v>67524</v>
      </c>
      <c r="H53" s="65">
        <v>45598</v>
      </c>
      <c r="I53" s="64" t="s">
        <v>33</v>
      </c>
      <c r="J53" s="64" t="s">
        <v>21</v>
      </c>
      <c r="K53" s="64" t="s">
        <v>17</v>
      </c>
      <c r="L53" s="64">
        <v>3.5</v>
      </c>
      <c r="M53" s="66">
        <v>0.12826980036727684</v>
      </c>
      <c r="N53" s="64">
        <v>11595.91</v>
      </c>
      <c r="O53" s="64" t="s">
        <v>18</v>
      </c>
    </row>
    <row r="54" spans="1:15" x14ac:dyDescent="0.3">
      <c r="A54" s="64">
        <v>53</v>
      </c>
      <c r="B54" s="64">
        <v>3137</v>
      </c>
      <c r="C54" s="64" t="s">
        <v>34</v>
      </c>
      <c r="D54" s="64" t="s">
        <v>14</v>
      </c>
      <c r="E54" s="64">
        <v>4112</v>
      </c>
      <c r="F54" s="64">
        <v>2</v>
      </c>
      <c r="G54" s="64">
        <v>8224</v>
      </c>
      <c r="H54" s="65">
        <v>45601</v>
      </c>
      <c r="I54" s="64" t="s">
        <v>26</v>
      </c>
      <c r="J54" s="64" t="s">
        <v>27</v>
      </c>
      <c r="K54" s="64" t="s">
        <v>28</v>
      </c>
      <c r="L54" s="64">
        <v>2.6</v>
      </c>
      <c r="M54" s="66">
        <v>0.18698200389105057</v>
      </c>
      <c r="N54" s="64">
        <v>929.46</v>
      </c>
      <c r="O54" s="64" t="s">
        <v>18</v>
      </c>
    </row>
    <row r="55" spans="1:15" x14ac:dyDescent="0.3">
      <c r="A55" s="64">
        <v>54</v>
      </c>
      <c r="B55" s="64">
        <v>6866</v>
      </c>
      <c r="C55" s="64" t="s">
        <v>32</v>
      </c>
      <c r="D55" s="64" t="s">
        <v>14</v>
      </c>
      <c r="E55" s="64">
        <v>15354</v>
      </c>
      <c r="F55" s="64">
        <v>4</v>
      </c>
      <c r="G55" s="64">
        <v>61416</v>
      </c>
      <c r="H55" s="65">
        <v>45546</v>
      </c>
      <c r="I55" s="64" t="s">
        <v>15</v>
      </c>
      <c r="J55" s="64" t="s">
        <v>16</v>
      </c>
      <c r="K55" s="64" t="s">
        <v>17</v>
      </c>
      <c r="L55" s="64">
        <v>4.5</v>
      </c>
      <c r="M55" s="66">
        <v>0.14050003256480398</v>
      </c>
      <c r="N55" s="64">
        <v>9795.85</v>
      </c>
      <c r="O55" s="64" t="s">
        <v>18</v>
      </c>
    </row>
    <row r="56" spans="1:15" x14ac:dyDescent="0.3">
      <c r="A56" s="64">
        <v>55</v>
      </c>
      <c r="B56" s="64">
        <v>9165</v>
      </c>
      <c r="C56" s="64" t="s">
        <v>34</v>
      </c>
      <c r="D56" s="64" t="s">
        <v>25</v>
      </c>
      <c r="E56" s="64">
        <v>45179</v>
      </c>
      <c r="F56" s="64">
        <v>4</v>
      </c>
      <c r="G56" s="64">
        <v>180716</v>
      </c>
      <c r="H56" s="65">
        <v>45462</v>
      </c>
      <c r="I56" s="64" t="s">
        <v>33</v>
      </c>
      <c r="J56" s="64" t="s">
        <v>35</v>
      </c>
      <c r="K56" s="64" t="s">
        <v>28</v>
      </c>
      <c r="L56" s="64">
        <v>4.7</v>
      </c>
      <c r="M56" s="66">
        <v>0.17746762876557692</v>
      </c>
      <c r="N56" s="64">
        <v>22143.56</v>
      </c>
      <c r="O56" s="64" t="s">
        <v>22</v>
      </c>
    </row>
    <row r="57" spans="1:15" x14ac:dyDescent="0.3">
      <c r="A57" s="64">
        <v>56</v>
      </c>
      <c r="B57" s="64">
        <v>2495</v>
      </c>
      <c r="C57" s="64" t="s">
        <v>13</v>
      </c>
      <c r="D57" s="64" t="s">
        <v>20</v>
      </c>
      <c r="E57" s="64">
        <v>10568</v>
      </c>
      <c r="F57" s="64">
        <v>3</v>
      </c>
      <c r="G57" s="64">
        <v>31704</v>
      </c>
      <c r="H57" s="65">
        <v>45342</v>
      </c>
      <c r="I57" s="64" t="s">
        <v>30</v>
      </c>
      <c r="J57" s="64" t="s">
        <v>35</v>
      </c>
      <c r="K57" s="64" t="s">
        <v>17</v>
      </c>
      <c r="L57" s="64">
        <v>1.5</v>
      </c>
      <c r="M57" s="66">
        <v>0.20631150643451929</v>
      </c>
      <c r="N57" s="64">
        <v>2970.3</v>
      </c>
      <c r="O57" s="64" t="s">
        <v>22</v>
      </c>
    </row>
    <row r="58" spans="1:15" x14ac:dyDescent="0.3">
      <c r="A58" s="64">
        <v>57</v>
      </c>
      <c r="B58" s="64">
        <v>6333</v>
      </c>
      <c r="C58" s="64" t="s">
        <v>19</v>
      </c>
      <c r="D58" s="64" t="s">
        <v>14</v>
      </c>
      <c r="E58" s="64">
        <v>19224</v>
      </c>
      <c r="F58" s="64">
        <v>5</v>
      </c>
      <c r="G58" s="64">
        <v>96120</v>
      </c>
      <c r="H58" s="65">
        <v>45537</v>
      </c>
      <c r="I58" s="64" t="s">
        <v>30</v>
      </c>
      <c r="J58" s="64" t="s">
        <v>27</v>
      </c>
      <c r="K58" s="64" t="s">
        <v>17</v>
      </c>
      <c r="L58" s="64">
        <v>2.7</v>
      </c>
      <c r="M58" s="66">
        <v>0.29941032043279237</v>
      </c>
      <c r="N58" s="64">
        <v>56.68</v>
      </c>
      <c r="O58" s="64" t="s">
        <v>18</v>
      </c>
    </row>
    <row r="59" spans="1:15" x14ac:dyDescent="0.3">
      <c r="A59" s="64">
        <v>58</v>
      </c>
      <c r="B59" s="64">
        <v>7423</v>
      </c>
      <c r="C59" s="64" t="s">
        <v>19</v>
      </c>
      <c r="D59" s="64" t="s">
        <v>25</v>
      </c>
      <c r="E59" s="64">
        <v>19719</v>
      </c>
      <c r="F59" s="64">
        <v>3</v>
      </c>
      <c r="G59" s="64">
        <v>59157</v>
      </c>
      <c r="H59" s="65">
        <v>45640</v>
      </c>
      <c r="I59" s="64" t="s">
        <v>15</v>
      </c>
      <c r="J59" s="64" t="s">
        <v>35</v>
      </c>
      <c r="K59" s="64" t="s">
        <v>28</v>
      </c>
      <c r="L59" s="64">
        <v>1.1000000000000001</v>
      </c>
      <c r="M59" s="66">
        <v>7.3790084013726179E-2</v>
      </c>
      <c r="N59" s="64">
        <v>13381.9</v>
      </c>
      <c r="O59" s="64" t="s">
        <v>18</v>
      </c>
    </row>
    <row r="60" spans="1:15" x14ac:dyDescent="0.3">
      <c r="A60" s="64">
        <v>59</v>
      </c>
      <c r="B60" s="64">
        <v>7096</v>
      </c>
      <c r="C60" s="64" t="s">
        <v>23</v>
      </c>
      <c r="D60" s="64" t="s">
        <v>14</v>
      </c>
      <c r="E60" s="64">
        <v>35192</v>
      </c>
      <c r="F60" s="64">
        <v>4</v>
      </c>
      <c r="G60" s="64">
        <v>140768</v>
      </c>
      <c r="H60" s="65">
        <v>45297</v>
      </c>
      <c r="I60" s="64" t="s">
        <v>33</v>
      </c>
      <c r="J60" s="64" t="s">
        <v>21</v>
      </c>
      <c r="K60" s="64" t="s">
        <v>24</v>
      </c>
      <c r="L60" s="64">
        <v>4.2</v>
      </c>
      <c r="M60" s="66">
        <v>8.4013767333484882E-2</v>
      </c>
      <c r="N60" s="64">
        <v>30403.95</v>
      </c>
      <c r="O60" s="64" t="s">
        <v>22</v>
      </c>
    </row>
    <row r="61" spans="1:15" x14ac:dyDescent="0.3">
      <c r="A61" s="64">
        <v>60</v>
      </c>
      <c r="B61" s="64">
        <v>8167</v>
      </c>
      <c r="C61" s="64" t="s">
        <v>34</v>
      </c>
      <c r="D61" s="64" t="s">
        <v>20</v>
      </c>
      <c r="E61" s="64">
        <v>22571</v>
      </c>
      <c r="F61" s="64">
        <v>3</v>
      </c>
      <c r="G61" s="64">
        <v>67713</v>
      </c>
      <c r="H61" s="65">
        <v>45313</v>
      </c>
      <c r="I61" s="64" t="s">
        <v>15</v>
      </c>
      <c r="J61" s="64" t="s">
        <v>35</v>
      </c>
      <c r="K61" s="64" t="s">
        <v>28</v>
      </c>
      <c r="L61" s="64">
        <v>3.2</v>
      </c>
      <c r="M61" s="66">
        <v>0.13666445143473188</v>
      </c>
      <c r="N61" s="64">
        <v>11059.94</v>
      </c>
      <c r="O61" s="64" t="s">
        <v>22</v>
      </c>
    </row>
    <row r="62" spans="1:15" x14ac:dyDescent="0.3">
      <c r="A62" s="64">
        <v>61</v>
      </c>
      <c r="B62" s="64">
        <v>9130</v>
      </c>
      <c r="C62" s="64" t="s">
        <v>23</v>
      </c>
      <c r="D62" s="64" t="s">
        <v>14</v>
      </c>
      <c r="E62" s="64">
        <v>26073</v>
      </c>
      <c r="F62" s="64">
        <v>1</v>
      </c>
      <c r="G62" s="64">
        <v>26073</v>
      </c>
      <c r="H62" s="65">
        <v>45325</v>
      </c>
      <c r="I62" s="64" t="s">
        <v>26</v>
      </c>
      <c r="J62" s="64" t="s">
        <v>27</v>
      </c>
      <c r="K62" s="64" t="s">
        <v>24</v>
      </c>
      <c r="L62" s="64">
        <v>3.1</v>
      </c>
      <c r="M62" s="66">
        <v>0.19620603689640626</v>
      </c>
      <c r="N62" s="64">
        <v>2706.22</v>
      </c>
      <c r="O62" s="64" t="s">
        <v>22</v>
      </c>
    </row>
    <row r="63" spans="1:15" x14ac:dyDescent="0.3">
      <c r="A63" s="64">
        <v>62</v>
      </c>
      <c r="B63" s="64">
        <v>2304</v>
      </c>
      <c r="C63" s="64" t="s">
        <v>13</v>
      </c>
      <c r="D63" s="64" t="s">
        <v>14</v>
      </c>
      <c r="E63" s="64">
        <v>28216</v>
      </c>
      <c r="F63" s="64">
        <v>1</v>
      </c>
      <c r="G63" s="64">
        <v>28216</v>
      </c>
      <c r="H63" s="65">
        <v>45531</v>
      </c>
      <c r="I63" s="64" t="s">
        <v>33</v>
      </c>
      <c r="J63" s="64" t="s">
        <v>35</v>
      </c>
      <c r="K63" s="64" t="s">
        <v>17</v>
      </c>
      <c r="L63" s="64">
        <v>1.4</v>
      </c>
      <c r="M63" s="66">
        <v>0.13831407711936491</v>
      </c>
      <c r="N63" s="64">
        <v>4562.13</v>
      </c>
      <c r="O63" s="64" t="s">
        <v>18</v>
      </c>
    </row>
    <row r="64" spans="1:15" x14ac:dyDescent="0.3">
      <c r="A64" s="64">
        <v>63</v>
      </c>
      <c r="B64" s="64">
        <v>4850</v>
      </c>
      <c r="C64" s="64" t="s">
        <v>34</v>
      </c>
      <c r="D64" s="64" t="s">
        <v>14</v>
      </c>
      <c r="E64" s="64">
        <v>19500</v>
      </c>
      <c r="F64" s="64">
        <v>1</v>
      </c>
      <c r="G64" s="64">
        <v>19500</v>
      </c>
      <c r="H64" s="65">
        <v>45404</v>
      </c>
      <c r="I64" s="64" t="s">
        <v>26</v>
      </c>
      <c r="J64" s="64" t="s">
        <v>35</v>
      </c>
      <c r="K64" s="64" t="s">
        <v>24</v>
      </c>
      <c r="L64" s="64">
        <v>3.8</v>
      </c>
      <c r="M64" s="66">
        <v>0.22658000000000003</v>
      </c>
      <c r="N64" s="64">
        <v>1431.69</v>
      </c>
      <c r="O64" s="64" t="s">
        <v>22</v>
      </c>
    </row>
    <row r="65" spans="1:15" x14ac:dyDescent="0.3">
      <c r="A65" s="64">
        <v>64</v>
      </c>
      <c r="B65" s="64">
        <v>4241</v>
      </c>
      <c r="C65" s="64" t="s">
        <v>13</v>
      </c>
      <c r="D65" s="64" t="s">
        <v>14</v>
      </c>
      <c r="E65" s="64">
        <v>29096</v>
      </c>
      <c r="F65" s="64">
        <v>2</v>
      </c>
      <c r="G65" s="64">
        <v>58192</v>
      </c>
      <c r="H65" s="65">
        <v>45489</v>
      </c>
      <c r="I65" s="64" t="s">
        <v>30</v>
      </c>
      <c r="J65" s="64" t="s">
        <v>16</v>
      </c>
      <c r="K65" s="64" t="s">
        <v>24</v>
      </c>
      <c r="L65" s="64">
        <v>1</v>
      </c>
      <c r="M65" s="66">
        <v>7.7828739345614517E-2</v>
      </c>
      <c r="N65" s="64">
        <v>12928.59</v>
      </c>
      <c r="O65" s="64" t="s">
        <v>22</v>
      </c>
    </row>
    <row r="66" spans="1:15" x14ac:dyDescent="0.3">
      <c r="A66" s="64">
        <v>65</v>
      </c>
      <c r="B66" s="64">
        <v>5971</v>
      </c>
      <c r="C66" s="64" t="s">
        <v>34</v>
      </c>
      <c r="D66" s="64" t="s">
        <v>20</v>
      </c>
      <c r="E66" s="64">
        <v>46577</v>
      </c>
      <c r="F66" s="64">
        <v>5</v>
      </c>
      <c r="G66" s="64">
        <v>232885</v>
      </c>
      <c r="H66" s="65">
        <v>45627</v>
      </c>
      <c r="I66" s="64" t="s">
        <v>26</v>
      </c>
      <c r="J66" s="64" t="s">
        <v>31</v>
      </c>
      <c r="K66" s="64" t="s">
        <v>28</v>
      </c>
      <c r="L66" s="64">
        <v>1.4</v>
      </c>
      <c r="M66" s="66">
        <v>5.0205981493011573E-2</v>
      </c>
      <c r="N66" s="64">
        <v>58173.279999999999</v>
      </c>
      <c r="O66" s="64" t="s">
        <v>22</v>
      </c>
    </row>
    <row r="67" spans="1:15" x14ac:dyDescent="0.3">
      <c r="A67" s="64">
        <v>66</v>
      </c>
      <c r="B67" s="64">
        <v>2517</v>
      </c>
      <c r="C67" s="64" t="s">
        <v>13</v>
      </c>
      <c r="D67" s="64" t="s">
        <v>14</v>
      </c>
      <c r="E67" s="64">
        <v>40107</v>
      </c>
      <c r="F67" s="64">
        <v>5</v>
      </c>
      <c r="G67" s="64">
        <v>200535</v>
      </c>
      <c r="H67" s="65">
        <v>45472</v>
      </c>
      <c r="I67" s="64" t="s">
        <v>30</v>
      </c>
      <c r="J67" s="64" t="s">
        <v>31</v>
      </c>
      <c r="K67" s="64" t="s">
        <v>28</v>
      </c>
      <c r="L67" s="64">
        <v>3</v>
      </c>
      <c r="M67" s="66">
        <v>0.16910015707981149</v>
      </c>
      <c r="N67" s="64">
        <v>26250</v>
      </c>
      <c r="O67" s="64" t="s">
        <v>18</v>
      </c>
    </row>
    <row r="68" spans="1:15" x14ac:dyDescent="0.3">
      <c r="A68" s="64">
        <v>67</v>
      </c>
      <c r="B68" s="64">
        <v>4603</v>
      </c>
      <c r="C68" s="64" t="s">
        <v>34</v>
      </c>
      <c r="D68" s="64" t="s">
        <v>14</v>
      </c>
      <c r="E68" s="64">
        <v>19623</v>
      </c>
      <c r="F68" s="64">
        <v>2</v>
      </c>
      <c r="G68" s="64">
        <v>39246</v>
      </c>
      <c r="H68" s="65">
        <v>45357</v>
      </c>
      <c r="I68" s="64" t="s">
        <v>33</v>
      </c>
      <c r="J68" s="64" t="s">
        <v>16</v>
      </c>
      <c r="K68" s="64" t="s">
        <v>17</v>
      </c>
      <c r="L68" s="64">
        <v>1.6</v>
      </c>
      <c r="M68" s="66">
        <v>0.1219655506293635</v>
      </c>
      <c r="N68" s="64">
        <v>6987.14</v>
      </c>
      <c r="O68" s="64" t="s">
        <v>22</v>
      </c>
    </row>
    <row r="69" spans="1:15" x14ac:dyDescent="0.3">
      <c r="A69" s="64">
        <v>68</v>
      </c>
      <c r="B69" s="64">
        <v>7630</v>
      </c>
      <c r="C69" s="64" t="s">
        <v>23</v>
      </c>
      <c r="D69" s="64" t="s">
        <v>14</v>
      </c>
      <c r="E69" s="64">
        <v>39760</v>
      </c>
      <c r="F69" s="64">
        <v>1</v>
      </c>
      <c r="G69" s="64">
        <v>39760</v>
      </c>
      <c r="H69" s="65">
        <v>45326</v>
      </c>
      <c r="I69" s="64" t="s">
        <v>26</v>
      </c>
      <c r="J69" s="64" t="s">
        <v>16</v>
      </c>
      <c r="K69" s="64" t="s">
        <v>24</v>
      </c>
      <c r="L69" s="64">
        <v>1.2</v>
      </c>
      <c r="M69" s="66">
        <v>0.20647233400402415</v>
      </c>
      <c r="N69" s="64">
        <v>3718.66</v>
      </c>
      <c r="O69" s="64" t="s">
        <v>18</v>
      </c>
    </row>
    <row r="70" spans="1:15" x14ac:dyDescent="0.3">
      <c r="A70" s="64">
        <v>69</v>
      </c>
      <c r="B70" s="64">
        <v>7246</v>
      </c>
      <c r="C70" s="64" t="s">
        <v>29</v>
      </c>
      <c r="D70" s="64" t="s">
        <v>14</v>
      </c>
      <c r="E70" s="64">
        <v>28367</v>
      </c>
      <c r="F70" s="64">
        <v>2</v>
      </c>
      <c r="G70" s="64">
        <v>56734</v>
      </c>
      <c r="H70" s="65">
        <v>45615</v>
      </c>
      <c r="I70" s="64" t="s">
        <v>30</v>
      </c>
      <c r="J70" s="64" t="s">
        <v>35</v>
      </c>
      <c r="K70" s="64" t="s">
        <v>24</v>
      </c>
      <c r="L70" s="64">
        <v>4.5</v>
      </c>
      <c r="M70" s="66">
        <v>0.16178816935171147</v>
      </c>
      <c r="N70" s="64">
        <v>7841.31</v>
      </c>
      <c r="O70" s="64" t="s">
        <v>18</v>
      </c>
    </row>
    <row r="71" spans="1:15" x14ac:dyDescent="0.3">
      <c r="A71" s="64">
        <v>70</v>
      </c>
      <c r="B71" s="64">
        <v>6760</v>
      </c>
      <c r="C71" s="64" t="s">
        <v>29</v>
      </c>
      <c r="D71" s="64" t="s">
        <v>20</v>
      </c>
      <c r="E71" s="64">
        <v>11873</v>
      </c>
      <c r="F71" s="64">
        <v>5</v>
      </c>
      <c r="G71" s="64">
        <v>59365</v>
      </c>
      <c r="H71" s="65">
        <v>45604</v>
      </c>
      <c r="I71" s="64" t="s">
        <v>30</v>
      </c>
      <c r="J71" s="64" t="s">
        <v>31</v>
      </c>
      <c r="K71" s="64" t="s">
        <v>24</v>
      </c>
      <c r="L71" s="64">
        <v>2.5</v>
      </c>
      <c r="M71" s="66">
        <v>0.24233083466689126</v>
      </c>
      <c r="N71" s="64">
        <v>3423.53</v>
      </c>
      <c r="O71" s="64" t="s">
        <v>22</v>
      </c>
    </row>
    <row r="72" spans="1:15" x14ac:dyDescent="0.3">
      <c r="A72" s="64">
        <v>71</v>
      </c>
      <c r="B72" s="64">
        <v>1449</v>
      </c>
      <c r="C72" s="64" t="s">
        <v>32</v>
      </c>
      <c r="D72" s="64" t="s">
        <v>25</v>
      </c>
      <c r="E72" s="64">
        <v>21102</v>
      </c>
      <c r="F72" s="64">
        <v>2</v>
      </c>
      <c r="G72" s="64">
        <v>42204</v>
      </c>
      <c r="H72" s="65">
        <v>45485</v>
      </c>
      <c r="I72" s="64" t="s">
        <v>26</v>
      </c>
      <c r="J72" s="64" t="s">
        <v>21</v>
      </c>
      <c r="K72" s="64" t="s">
        <v>28</v>
      </c>
      <c r="L72" s="64">
        <v>1.3</v>
      </c>
      <c r="M72" s="66">
        <v>0.15047317789782957</v>
      </c>
      <c r="N72" s="64">
        <v>6310.63</v>
      </c>
      <c r="O72" s="64" t="s">
        <v>22</v>
      </c>
    </row>
    <row r="73" spans="1:15" x14ac:dyDescent="0.3">
      <c r="A73" s="64">
        <v>72</v>
      </c>
      <c r="B73" s="64">
        <v>1315</v>
      </c>
      <c r="C73" s="64" t="s">
        <v>13</v>
      </c>
      <c r="D73" s="64" t="s">
        <v>14</v>
      </c>
      <c r="E73" s="64">
        <v>2495</v>
      </c>
      <c r="F73" s="64">
        <v>3</v>
      </c>
      <c r="G73" s="64">
        <v>7485</v>
      </c>
      <c r="H73" s="65">
        <v>45602</v>
      </c>
      <c r="I73" s="64" t="s">
        <v>33</v>
      </c>
      <c r="J73" s="64" t="s">
        <v>35</v>
      </c>
      <c r="K73" s="64" t="s">
        <v>17</v>
      </c>
      <c r="L73" s="64">
        <v>3.2</v>
      </c>
      <c r="M73" s="66">
        <v>0.29934669338677355</v>
      </c>
      <c r="N73" s="64">
        <v>4.8899999999999997</v>
      </c>
      <c r="O73" s="64" t="s">
        <v>18</v>
      </c>
    </row>
    <row r="74" spans="1:15" x14ac:dyDescent="0.3">
      <c r="A74" s="64">
        <v>73</v>
      </c>
      <c r="B74" s="64">
        <v>5998</v>
      </c>
      <c r="C74" s="64" t="s">
        <v>34</v>
      </c>
      <c r="D74" s="64" t="s">
        <v>25</v>
      </c>
      <c r="E74" s="64">
        <v>46451</v>
      </c>
      <c r="F74" s="64">
        <v>3</v>
      </c>
      <c r="G74" s="64">
        <v>139353</v>
      </c>
      <c r="H74" s="65">
        <v>45493</v>
      </c>
      <c r="I74" s="64" t="s">
        <v>26</v>
      </c>
      <c r="J74" s="64" t="s">
        <v>16</v>
      </c>
      <c r="K74" s="64" t="s">
        <v>28</v>
      </c>
      <c r="L74" s="64">
        <v>3.3</v>
      </c>
      <c r="M74" s="66">
        <v>0.28538258953879714</v>
      </c>
      <c r="N74" s="64">
        <v>2036.98</v>
      </c>
      <c r="O74" s="64" t="s">
        <v>18</v>
      </c>
    </row>
    <row r="75" spans="1:15" x14ac:dyDescent="0.3">
      <c r="A75" s="64">
        <v>74</v>
      </c>
      <c r="B75" s="64">
        <v>5220</v>
      </c>
      <c r="C75" s="64" t="s">
        <v>19</v>
      </c>
      <c r="D75" s="64" t="s">
        <v>14</v>
      </c>
      <c r="E75" s="64">
        <v>32692</v>
      </c>
      <c r="F75" s="64">
        <v>2</v>
      </c>
      <c r="G75" s="64">
        <v>65384</v>
      </c>
      <c r="H75" s="65">
        <v>45312</v>
      </c>
      <c r="I75" s="64" t="s">
        <v>15</v>
      </c>
      <c r="J75" s="64" t="s">
        <v>16</v>
      </c>
      <c r="K75" s="64" t="s">
        <v>17</v>
      </c>
      <c r="L75" s="64">
        <v>5</v>
      </c>
      <c r="M75" s="66">
        <v>0.14389422488682246</v>
      </c>
      <c r="N75" s="64">
        <v>10206.82</v>
      </c>
      <c r="O75" s="64" t="s">
        <v>22</v>
      </c>
    </row>
    <row r="76" spans="1:15" x14ac:dyDescent="0.3">
      <c r="A76" s="64">
        <v>75</v>
      </c>
      <c r="B76" s="64">
        <v>1975</v>
      </c>
      <c r="C76" s="64" t="s">
        <v>13</v>
      </c>
      <c r="D76" s="64" t="s">
        <v>14</v>
      </c>
      <c r="E76" s="64">
        <v>26476</v>
      </c>
      <c r="F76" s="64">
        <v>4</v>
      </c>
      <c r="G76" s="64">
        <v>105904</v>
      </c>
      <c r="H76" s="65">
        <v>45343</v>
      </c>
      <c r="I76" s="64" t="s">
        <v>30</v>
      </c>
      <c r="J76" s="64" t="s">
        <v>31</v>
      </c>
      <c r="K76" s="64" t="s">
        <v>28</v>
      </c>
      <c r="L76" s="64">
        <v>2.4</v>
      </c>
      <c r="M76" s="66">
        <v>7.9156216951201078E-2</v>
      </c>
      <c r="N76" s="64">
        <v>23388.240000000002</v>
      </c>
      <c r="O76" s="64" t="s">
        <v>22</v>
      </c>
    </row>
    <row r="77" spans="1:15" x14ac:dyDescent="0.3">
      <c r="A77" s="64">
        <v>76</v>
      </c>
      <c r="B77" s="64">
        <v>1504</v>
      </c>
      <c r="C77" s="64" t="s">
        <v>13</v>
      </c>
      <c r="D77" s="64" t="s">
        <v>14</v>
      </c>
      <c r="E77" s="64">
        <v>15122</v>
      </c>
      <c r="F77" s="64">
        <v>2</v>
      </c>
      <c r="G77" s="64">
        <v>30244</v>
      </c>
      <c r="H77" s="65">
        <v>45457</v>
      </c>
      <c r="I77" s="64" t="s">
        <v>33</v>
      </c>
      <c r="J77" s="64" t="s">
        <v>27</v>
      </c>
      <c r="K77" s="64" t="s">
        <v>24</v>
      </c>
      <c r="L77" s="64">
        <v>1.8</v>
      </c>
      <c r="M77" s="66">
        <v>8.0074064277212018E-2</v>
      </c>
      <c r="N77" s="64">
        <v>6651.44</v>
      </c>
      <c r="O77" s="64" t="s">
        <v>18</v>
      </c>
    </row>
    <row r="78" spans="1:15" x14ac:dyDescent="0.3">
      <c r="A78" s="64">
        <v>77</v>
      </c>
      <c r="B78" s="64">
        <v>9105</v>
      </c>
      <c r="C78" s="64" t="s">
        <v>23</v>
      </c>
      <c r="D78" s="64" t="s">
        <v>20</v>
      </c>
      <c r="E78" s="64">
        <v>14449</v>
      </c>
      <c r="F78" s="64">
        <v>1</v>
      </c>
      <c r="G78" s="64">
        <v>14449</v>
      </c>
      <c r="H78" s="65">
        <v>45498</v>
      </c>
      <c r="I78" s="64" t="s">
        <v>30</v>
      </c>
      <c r="J78" s="64" t="s">
        <v>35</v>
      </c>
      <c r="K78" s="64" t="s">
        <v>17</v>
      </c>
      <c r="L78" s="64">
        <v>4</v>
      </c>
      <c r="M78" s="66">
        <v>0.23707592220914944</v>
      </c>
      <c r="N78" s="64">
        <v>909.19</v>
      </c>
      <c r="O78" s="64" t="s">
        <v>22</v>
      </c>
    </row>
    <row r="79" spans="1:15" x14ac:dyDescent="0.3">
      <c r="A79" s="64">
        <v>78</v>
      </c>
      <c r="B79" s="64">
        <v>9116</v>
      </c>
      <c r="C79" s="64" t="s">
        <v>32</v>
      </c>
      <c r="D79" s="64" t="s">
        <v>14</v>
      </c>
      <c r="E79" s="64">
        <v>38231</v>
      </c>
      <c r="F79" s="64">
        <v>2</v>
      </c>
      <c r="G79" s="64">
        <v>76462</v>
      </c>
      <c r="H79" s="65">
        <v>45398</v>
      </c>
      <c r="I79" s="64" t="s">
        <v>15</v>
      </c>
      <c r="J79" s="64" t="s">
        <v>21</v>
      </c>
      <c r="K79" s="64" t="s">
        <v>28</v>
      </c>
      <c r="L79" s="64">
        <v>1.2</v>
      </c>
      <c r="M79" s="66">
        <v>0.11222816562475478</v>
      </c>
      <c r="N79" s="64">
        <v>14357.41</v>
      </c>
      <c r="O79" s="64" t="s">
        <v>18</v>
      </c>
    </row>
    <row r="80" spans="1:15" x14ac:dyDescent="0.3">
      <c r="A80" s="64">
        <v>79</v>
      </c>
      <c r="B80" s="64">
        <v>9079</v>
      </c>
      <c r="C80" s="64" t="s">
        <v>13</v>
      </c>
      <c r="D80" s="64" t="s">
        <v>25</v>
      </c>
      <c r="E80" s="64">
        <v>579</v>
      </c>
      <c r="F80" s="64">
        <v>5</v>
      </c>
      <c r="G80" s="64">
        <v>2895</v>
      </c>
      <c r="H80" s="65">
        <v>45501</v>
      </c>
      <c r="I80" s="64" t="s">
        <v>15</v>
      </c>
      <c r="J80" s="64" t="s">
        <v>35</v>
      </c>
      <c r="K80" s="64" t="s">
        <v>17</v>
      </c>
      <c r="L80" s="64">
        <v>3.5</v>
      </c>
      <c r="M80" s="66">
        <v>9.4614853195164078E-2</v>
      </c>
      <c r="N80" s="64">
        <v>594.59</v>
      </c>
      <c r="O80" s="64" t="s">
        <v>22</v>
      </c>
    </row>
    <row r="81" spans="1:15" x14ac:dyDescent="0.3">
      <c r="A81" s="64">
        <v>80</v>
      </c>
      <c r="B81" s="64">
        <v>1953</v>
      </c>
      <c r="C81" s="64" t="s">
        <v>13</v>
      </c>
      <c r="D81" s="64" t="s">
        <v>20</v>
      </c>
      <c r="E81" s="64">
        <v>24860</v>
      </c>
      <c r="F81" s="64">
        <v>5</v>
      </c>
      <c r="G81" s="64">
        <v>124300</v>
      </c>
      <c r="H81" s="65">
        <v>45331</v>
      </c>
      <c r="I81" s="64" t="s">
        <v>33</v>
      </c>
      <c r="J81" s="64" t="s">
        <v>31</v>
      </c>
      <c r="K81" s="64" t="s">
        <v>24</v>
      </c>
      <c r="L81" s="64">
        <v>1.9</v>
      </c>
      <c r="M81" s="66">
        <v>0.2036704746580853</v>
      </c>
      <c r="N81" s="64">
        <v>11973.76</v>
      </c>
      <c r="O81" s="64" t="s">
        <v>18</v>
      </c>
    </row>
    <row r="82" spans="1:15" x14ac:dyDescent="0.3">
      <c r="A82" s="64">
        <v>81</v>
      </c>
      <c r="B82" s="64">
        <v>5590</v>
      </c>
      <c r="C82" s="64" t="s">
        <v>32</v>
      </c>
      <c r="D82" s="64" t="s">
        <v>20</v>
      </c>
      <c r="E82" s="64">
        <v>28976</v>
      </c>
      <c r="F82" s="64">
        <v>5</v>
      </c>
      <c r="G82" s="64">
        <v>144880</v>
      </c>
      <c r="H82" s="65">
        <v>45351</v>
      </c>
      <c r="I82" s="64" t="s">
        <v>30</v>
      </c>
      <c r="J82" s="64" t="s">
        <v>21</v>
      </c>
      <c r="K82" s="64" t="s">
        <v>24</v>
      </c>
      <c r="L82" s="64">
        <v>4</v>
      </c>
      <c r="M82" s="66">
        <v>0.19322335726118167</v>
      </c>
      <c r="N82" s="64">
        <v>15469.8</v>
      </c>
      <c r="O82" s="64" t="s">
        <v>22</v>
      </c>
    </row>
    <row r="83" spans="1:15" x14ac:dyDescent="0.3">
      <c r="A83" s="64">
        <v>82</v>
      </c>
      <c r="B83" s="64">
        <v>5154</v>
      </c>
      <c r="C83" s="64" t="s">
        <v>19</v>
      </c>
      <c r="D83" s="64" t="s">
        <v>20</v>
      </c>
      <c r="E83" s="64">
        <v>35275</v>
      </c>
      <c r="F83" s="64">
        <v>1</v>
      </c>
      <c r="G83" s="64">
        <v>35275</v>
      </c>
      <c r="H83" s="65">
        <v>45314</v>
      </c>
      <c r="I83" s="64" t="s">
        <v>30</v>
      </c>
      <c r="J83" s="64" t="s">
        <v>31</v>
      </c>
      <c r="K83" s="64" t="s">
        <v>24</v>
      </c>
      <c r="L83" s="64">
        <v>1.7</v>
      </c>
      <c r="M83" s="66">
        <v>0.22072515946137491</v>
      </c>
      <c r="N83" s="64">
        <v>2796.42</v>
      </c>
      <c r="O83" s="64" t="s">
        <v>22</v>
      </c>
    </row>
    <row r="84" spans="1:15" x14ac:dyDescent="0.3">
      <c r="A84" s="64">
        <v>83</v>
      </c>
      <c r="B84" s="64">
        <v>4470</v>
      </c>
      <c r="C84" s="64" t="s">
        <v>13</v>
      </c>
      <c r="D84" s="64" t="s">
        <v>20</v>
      </c>
      <c r="E84" s="64">
        <v>39594</v>
      </c>
      <c r="F84" s="64">
        <v>2</v>
      </c>
      <c r="G84" s="64">
        <v>79188</v>
      </c>
      <c r="H84" s="65">
        <v>45416</v>
      </c>
      <c r="I84" s="64" t="s">
        <v>15</v>
      </c>
      <c r="J84" s="64" t="s">
        <v>27</v>
      </c>
      <c r="K84" s="64" t="s">
        <v>24</v>
      </c>
      <c r="L84" s="64">
        <v>3.5</v>
      </c>
      <c r="M84" s="66">
        <v>0.20124930545032077</v>
      </c>
      <c r="N84" s="64">
        <v>7819.87</v>
      </c>
      <c r="O84" s="64" t="s">
        <v>18</v>
      </c>
    </row>
    <row r="85" spans="1:15" x14ac:dyDescent="0.3">
      <c r="A85" s="64">
        <v>84</v>
      </c>
      <c r="B85" s="64">
        <v>7014</v>
      </c>
      <c r="C85" s="64" t="s">
        <v>19</v>
      </c>
      <c r="D85" s="64" t="s">
        <v>14</v>
      </c>
      <c r="E85" s="64">
        <v>26816</v>
      </c>
      <c r="F85" s="64">
        <v>5</v>
      </c>
      <c r="G85" s="64">
        <v>134080</v>
      </c>
      <c r="H85" s="65">
        <v>45436</v>
      </c>
      <c r="I85" s="64" t="s">
        <v>30</v>
      </c>
      <c r="J85" s="64" t="s">
        <v>16</v>
      </c>
      <c r="K85" s="64" t="s">
        <v>28</v>
      </c>
      <c r="L85" s="64">
        <v>4.9000000000000004</v>
      </c>
      <c r="M85" s="66">
        <v>0.20179683770883053</v>
      </c>
      <c r="N85" s="64">
        <v>13167.08</v>
      </c>
      <c r="O85" s="64" t="s">
        <v>22</v>
      </c>
    </row>
    <row r="86" spans="1:15" x14ac:dyDescent="0.3">
      <c r="A86" s="64">
        <v>85</v>
      </c>
      <c r="B86" s="64">
        <v>8842</v>
      </c>
      <c r="C86" s="64" t="s">
        <v>19</v>
      </c>
      <c r="D86" s="64" t="s">
        <v>25</v>
      </c>
      <c r="E86" s="64">
        <v>27329</v>
      </c>
      <c r="F86" s="64">
        <v>5</v>
      </c>
      <c r="G86" s="64">
        <v>136645</v>
      </c>
      <c r="H86" s="65">
        <v>45422</v>
      </c>
      <c r="I86" s="64" t="s">
        <v>26</v>
      </c>
      <c r="J86" s="64" t="s">
        <v>31</v>
      </c>
      <c r="K86" s="64" t="s">
        <v>17</v>
      </c>
      <c r="L86" s="64">
        <v>4.8</v>
      </c>
      <c r="M86" s="66">
        <v>0.19712766658128728</v>
      </c>
      <c r="N86" s="64">
        <v>14056.99</v>
      </c>
      <c r="O86" s="64" t="s">
        <v>22</v>
      </c>
    </row>
    <row r="87" spans="1:15" x14ac:dyDescent="0.3">
      <c r="A87" s="64">
        <v>86</v>
      </c>
      <c r="B87" s="64">
        <v>1743</v>
      </c>
      <c r="C87" s="64" t="s">
        <v>19</v>
      </c>
      <c r="D87" s="64" t="s">
        <v>20</v>
      </c>
      <c r="E87" s="64">
        <v>46040</v>
      </c>
      <c r="F87" s="64">
        <v>2</v>
      </c>
      <c r="G87" s="64">
        <v>92080</v>
      </c>
      <c r="H87" s="65">
        <v>45439</v>
      </c>
      <c r="I87" s="64" t="s">
        <v>15</v>
      </c>
      <c r="J87" s="64" t="s">
        <v>35</v>
      </c>
      <c r="K87" s="64" t="s">
        <v>28</v>
      </c>
      <c r="L87" s="64">
        <v>4.0999999999999996</v>
      </c>
      <c r="M87" s="66">
        <v>0.1147774761077324</v>
      </c>
      <c r="N87" s="64">
        <v>17055.29</v>
      </c>
      <c r="O87" s="64" t="s">
        <v>18</v>
      </c>
    </row>
    <row r="88" spans="1:15" x14ac:dyDescent="0.3">
      <c r="A88" s="64">
        <v>87</v>
      </c>
      <c r="B88" s="64">
        <v>4963</v>
      </c>
      <c r="C88" s="64" t="s">
        <v>29</v>
      </c>
      <c r="D88" s="64" t="s">
        <v>25</v>
      </c>
      <c r="E88" s="64">
        <v>45911</v>
      </c>
      <c r="F88" s="64">
        <v>2</v>
      </c>
      <c r="G88" s="64">
        <v>91822</v>
      </c>
      <c r="H88" s="65">
        <v>45342</v>
      </c>
      <c r="I88" s="64" t="s">
        <v>30</v>
      </c>
      <c r="J88" s="64" t="s">
        <v>16</v>
      </c>
      <c r="K88" s="64" t="s">
        <v>24</v>
      </c>
      <c r="L88" s="64">
        <v>3.3</v>
      </c>
      <c r="M88" s="66">
        <v>0.18500130687634769</v>
      </c>
      <c r="N88" s="64">
        <v>10559.41</v>
      </c>
      <c r="O88" s="64" t="s">
        <v>18</v>
      </c>
    </row>
    <row r="89" spans="1:15" x14ac:dyDescent="0.3">
      <c r="A89" s="64">
        <v>88</v>
      </c>
      <c r="B89" s="64">
        <v>8523</v>
      </c>
      <c r="C89" s="64" t="s">
        <v>13</v>
      </c>
      <c r="D89" s="64" t="s">
        <v>20</v>
      </c>
      <c r="E89" s="64">
        <v>16954</v>
      </c>
      <c r="F89" s="64">
        <v>4</v>
      </c>
      <c r="G89" s="64">
        <v>67816</v>
      </c>
      <c r="H89" s="65">
        <v>45292</v>
      </c>
      <c r="I89" s="64" t="s">
        <v>26</v>
      </c>
      <c r="J89" s="64" t="s">
        <v>21</v>
      </c>
      <c r="K89" s="64" t="s">
        <v>28</v>
      </c>
      <c r="L89" s="64">
        <v>1.7</v>
      </c>
      <c r="M89" s="66">
        <v>0.29548159726318274</v>
      </c>
      <c r="N89" s="64">
        <v>306.42</v>
      </c>
      <c r="O89" s="64" t="s">
        <v>22</v>
      </c>
    </row>
    <row r="90" spans="1:15" x14ac:dyDescent="0.3">
      <c r="A90" s="64">
        <v>89</v>
      </c>
      <c r="B90" s="64">
        <v>7336</v>
      </c>
      <c r="C90" s="64" t="s">
        <v>29</v>
      </c>
      <c r="D90" s="64" t="s">
        <v>25</v>
      </c>
      <c r="E90" s="64">
        <v>3777</v>
      </c>
      <c r="F90" s="64">
        <v>3</v>
      </c>
      <c r="G90" s="64">
        <v>11331</v>
      </c>
      <c r="H90" s="65">
        <v>45450</v>
      </c>
      <c r="I90" s="64" t="s">
        <v>26</v>
      </c>
      <c r="J90" s="64" t="s">
        <v>27</v>
      </c>
      <c r="K90" s="64" t="s">
        <v>28</v>
      </c>
      <c r="L90" s="64">
        <v>2.5</v>
      </c>
      <c r="M90" s="66">
        <v>0.29952607889859678</v>
      </c>
      <c r="N90" s="64">
        <v>5.37</v>
      </c>
      <c r="O90" s="64" t="s">
        <v>22</v>
      </c>
    </row>
    <row r="91" spans="1:15" x14ac:dyDescent="0.3">
      <c r="A91" s="64">
        <v>90</v>
      </c>
      <c r="B91" s="64">
        <v>3440</v>
      </c>
      <c r="C91" s="64" t="s">
        <v>32</v>
      </c>
      <c r="D91" s="64" t="s">
        <v>25</v>
      </c>
      <c r="E91" s="64">
        <v>48209</v>
      </c>
      <c r="F91" s="64">
        <v>5</v>
      </c>
      <c r="G91" s="64">
        <v>241045</v>
      </c>
      <c r="H91" s="65">
        <v>45604</v>
      </c>
      <c r="I91" s="64" t="s">
        <v>15</v>
      </c>
      <c r="J91" s="64" t="s">
        <v>16</v>
      </c>
      <c r="K91" s="64" t="s">
        <v>17</v>
      </c>
      <c r="L91" s="64">
        <v>4.5999999999999996</v>
      </c>
      <c r="M91" s="66">
        <v>0.29937103030554463</v>
      </c>
      <c r="N91" s="64">
        <v>151.61000000000001</v>
      </c>
      <c r="O91" s="64" t="s">
        <v>22</v>
      </c>
    </row>
    <row r="92" spans="1:15" x14ac:dyDescent="0.3">
      <c r="A92" s="64">
        <v>91</v>
      </c>
      <c r="B92" s="64">
        <v>6348</v>
      </c>
      <c r="C92" s="64" t="s">
        <v>13</v>
      </c>
      <c r="D92" s="64" t="s">
        <v>20</v>
      </c>
      <c r="E92" s="64">
        <v>9863</v>
      </c>
      <c r="F92" s="64">
        <v>3</v>
      </c>
      <c r="G92" s="64">
        <v>29589</v>
      </c>
      <c r="H92" s="65">
        <v>45444</v>
      </c>
      <c r="I92" s="64" t="s">
        <v>30</v>
      </c>
      <c r="J92" s="64" t="s">
        <v>31</v>
      </c>
      <c r="K92" s="64" t="s">
        <v>17</v>
      </c>
      <c r="L92" s="64">
        <v>3</v>
      </c>
      <c r="M92" s="66">
        <v>0.10954239751258914</v>
      </c>
      <c r="N92" s="64">
        <v>5635.45</v>
      </c>
      <c r="O92" s="64" t="s">
        <v>18</v>
      </c>
    </row>
    <row r="93" spans="1:15" x14ac:dyDescent="0.3">
      <c r="A93" s="64">
        <v>92</v>
      </c>
      <c r="B93" s="64">
        <v>9118</v>
      </c>
      <c r="C93" s="64" t="s">
        <v>34</v>
      </c>
      <c r="D93" s="64" t="s">
        <v>20</v>
      </c>
      <c r="E93" s="64">
        <v>8017</v>
      </c>
      <c r="F93" s="64">
        <v>1</v>
      </c>
      <c r="G93" s="64">
        <v>8017</v>
      </c>
      <c r="H93" s="65">
        <v>45443</v>
      </c>
      <c r="I93" s="64" t="s">
        <v>15</v>
      </c>
      <c r="J93" s="64" t="s">
        <v>35</v>
      </c>
      <c r="K93" s="64" t="s">
        <v>28</v>
      </c>
      <c r="L93" s="64">
        <v>1.8</v>
      </c>
      <c r="M93" s="66">
        <v>0.19748659099413746</v>
      </c>
      <c r="N93" s="64">
        <v>821.85</v>
      </c>
      <c r="O93" s="64" t="s">
        <v>22</v>
      </c>
    </row>
    <row r="94" spans="1:15" x14ac:dyDescent="0.3">
      <c r="A94" s="64">
        <v>93</v>
      </c>
      <c r="B94" s="64">
        <v>9919</v>
      </c>
      <c r="C94" s="64" t="s">
        <v>29</v>
      </c>
      <c r="D94" s="64" t="s">
        <v>20</v>
      </c>
      <c r="E94" s="64">
        <v>22479</v>
      </c>
      <c r="F94" s="64">
        <v>4</v>
      </c>
      <c r="G94" s="64">
        <v>89916</v>
      </c>
      <c r="H94" s="65">
        <v>45326</v>
      </c>
      <c r="I94" s="64" t="s">
        <v>26</v>
      </c>
      <c r="J94" s="64" t="s">
        <v>27</v>
      </c>
      <c r="K94" s="64" t="s">
        <v>17</v>
      </c>
      <c r="L94" s="64">
        <v>3.1</v>
      </c>
      <c r="M94" s="66">
        <v>7.5337314827172028E-2</v>
      </c>
      <c r="N94" s="64">
        <v>20200.77</v>
      </c>
      <c r="O94" s="64" t="s">
        <v>22</v>
      </c>
    </row>
    <row r="95" spans="1:15" x14ac:dyDescent="0.3">
      <c r="A95" s="64">
        <v>94</v>
      </c>
      <c r="B95" s="64">
        <v>3921</v>
      </c>
      <c r="C95" s="64" t="s">
        <v>13</v>
      </c>
      <c r="D95" s="64" t="s">
        <v>20</v>
      </c>
      <c r="E95" s="64">
        <v>4280</v>
      </c>
      <c r="F95" s="64">
        <v>2</v>
      </c>
      <c r="G95" s="64">
        <v>8560</v>
      </c>
      <c r="H95" s="65">
        <v>45575</v>
      </c>
      <c r="I95" s="64" t="s">
        <v>15</v>
      </c>
      <c r="J95" s="64" t="s">
        <v>27</v>
      </c>
      <c r="K95" s="64" t="s">
        <v>24</v>
      </c>
      <c r="L95" s="64">
        <v>3.1</v>
      </c>
      <c r="M95" s="66">
        <v>8.9862149532710281E-2</v>
      </c>
      <c r="N95" s="64">
        <v>1798.78</v>
      </c>
      <c r="O95" s="64" t="s">
        <v>18</v>
      </c>
    </row>
    <row r="96" spans="1:15" x14ac:dyDescent="0.3">
      <c r="A96" s="64">
        <v>95</v>
      </c>
      <c r="B96" s="64">
        <v>6398</v>
      </c>
      <c r="C96" s="64" t="s">
        <v>34</v>
      </c>
      <c r="D96" s="64" t="s">
        <v>14</v>
      </c>
      <c r="E96" s="64">
        <v>30427</v>
      </c>
      <c r="F96" s="64">
        <v>3</v>
      </c>
      <c r="G96" s="64">
        <v>91281</v>
      </c>
      <c r="H96" s="65">
        <v>45398</v>
      </c>
      <c r="I96" s="64" t="s">
        <v>30</v>
      </c>
      <c r="J96" s="64" t="s">
        <v>31</v>
      </c>
      <c r="K96" s="64" t="s">
        <v>28</v>
      </c>
      <c r="L96" s="64">
        <v>4.0999999999999996</v>
      </c>
      <c r="M96" s="66">
        <v>0.16245045518782658</v>
      </c>
      <c r="N96" s="64">
        <v>12555.66</v>
      </c>
      <c r="O96" s="64" t="s">
        <v>22</v>
      </c>
    </row>
    <row r="97" spans="1:15" x14ac:dyDescent="0.3">
      <c r="A97" s="64">
        <v>96</v>
      </c>
      <c r="B97" s="64">
        <v>8161</v>
      </c>
      <c r="C97" s="64" t="s">
        <v>23</v>
      </c>
      <c r="D97" s="64" t="s">
        <v>25</v>
      </c>
      <c r="E97" s="64">
        <v>31533</v>
      </c>
      <c r="F97" s="64">
        <v>5</v>
      </c>
      <c r="G97" s="64">
        <v>157665</v>
      </c>
      <c r="H97" s="65">
        <v>45346</v>
      </c>
      <c r="I97" s="64" t="s">
        <v>30</v>
      </c>
      <c r="J97" s="64" t="s">
        <v>27</v>
      </c>
      <c r="K97" s="64" t="s">
        <v>24</v>
      </c>
      <c r="L97" s="64">
        <v>3.8</v>
      </c>
      <c r="M97" s="66">
        <v>0.121611264389687</v>
      </c>
      <c r="N97" s="64">
        <v>28125.66</v>
      </c>
      <c r="O97" s="64" t="s">
        <v>22</v>
      </c>
    </row>
    <row r="98" spans="1:15" x14ac:dyDescent="0.3">
      <c r="A98" s="64">
        <v>97</v>
      </c>
      <c r="B98" s="64">
        <v>1366</v>
      </c>
      <c r="C98" s="64" t="s">
        <v>34</v>
      </c>
      <c r="D98" s="64" t="s">
        <v>25</v>
      </c>
      <c r="E98" s="64">
        <v>12988</v>
      </c>
      <c r="F98" s="64">
        <v>1</v>
      </c>
      <c r="G98" s="64">
        <v>12988</v>
      </c>
      <c r="H98" s="65">
        <v>45391</v>
      </c>
      <c r="I98" s="64" t="s">
        <v>30</v>
      </c>
      <c r="J98" s="64" t="s">
        <v>16</v>
      </c>
      <c r="K98" s="64" t="s">
        <v>17</v>
      </c>
      <c r="L98" s="64">
        <v>1.9</v>
      </c>
      <c r="M98" s="66">
        <v>0.16205651370495841</v>
      </c>
      <c r="N98" s="64">
        <v>1791.61</v>
      </c>
      <c r="O98" s="64" t="s">
        <v>18</v>
      </c>
    </row>
    <row r="99" spans="1:15" x14ac:dyDescent="0.3">
      <c r="A99" s="64">
        <v>98</v>
      </c>
      <c r="B99" s="64">
        <v>1935</v>
      </c>
      <c r="C99" s="64" t="s">
        <v>34</v>
      </c>
      <c r="D99" s="64" t="s">
        <v>25</v>
      </c>
      <c r="E99" s="64">
        <v>25576</v>
      </c>
      <c r="F99" s="64">
        <v>3</v>
      </c>
      <c r="G99" s="64">
        <v>76728</v>
      </c>
      <c r="H99" s="65">
        <v>45457</v>
      </c>
      <c r="I99" s="64" t="s">
        <v>15</v>
      </c>
      <c r="J99" s="64" t="s">
        <v>21</v>
      </c>
      <c r="K99" s="64" t="s">
        <v>24</v>
      </c>
      <c r="L99" s="64">
        <v>4.2</v>
      </c>
      <c r="M99" s="66">
        <v>0.13910280471275155</v>
      </c>
      <c r="N99" s="64">
        <v>12345.32</v>
      </c>
      <c r="O99" s="64" t="s">
        <v>22</v>
      </c>
    </row>
    <row r="100" spans="1:15" x14ac:dyDescent="0.3">
      <c r="A100" s="64">
        <v>99</v>
      </c>
      <c r="B100" s="64">
        <v>4426</v>
      </c>
      <c r="C100" s="64" t="s">
        <v>19</v>
      </c>
      <c r="D100" s="64" t="s">
        <v>20</v>
      </c>
      <c r="E100" s="64">
        <v>34701</v>
      </c>
      <c r="F100" s="64">
        <v>2</v>
      </c>
      <c r="G100" s="64">
        <v>69402</v>
      </c>
      <c r="H100" s="65">
        <v>45493</v>
      </c>
      <c r="I100" s="64" t="s">
        <v>15</v>
      </c>
      <c r="J100" s="64" t="s">
        <v>27</v>
      </c>
      <c r="K100" s="64" t="s">
        <v>28</v>
      </c>
      <c r="L100" s="64">
        <v>1.1000000000000001</v>
      </c>
      <c r="M100" s="66">
        <v>0.17298507247629752</v>
      </c>
      <c r="N100" s="64">
        <v>8815.09</v>
      </c>
      <c r="O100" s="64" t="s">
        <v>22</v>
      </c>
    </row>
    <row r="101" spans="1:15" x14ac:dyDescent="0.3">
      <c r="A101" s="64">
        <v>100</v>
      </c>
      <c r="B101" s="64">
        <v>9503</v>
      </c>
      <c r="C101" s="64" t="s">
        <v>19</v>
      </c>
      <c r="D101" s="64" t="s">
        <v>14</v>
      </c>
      <c r="E101" s="64">
        <v>27168</v>
      </c>
      <c r="F101" s="64">
        <v>2</v>
      </c>
      <c r="G101" s="64">
        <v>54336</v>
      </c>
      <c r="H101" s="65">
        <v>45440</v>
      </c>
      <c r="I101" s="64" t="s">
        <v>15</v>
      </c>
      <c r="J101" s="64" t="s">
        <v>31</v>
      </c>
      <c r="K101" s="64" t="s">
        <v>28</v>
      </c>
      <c r="L101" s="64">
        <v>2.2999999999999998</v>
      </c>
      <c r="M101" s="66">
        <v>0.16868577002355711</v>
      </c>
      <c r="N101" s="64">
        <v>7135.09</v>
      </c>
      <c r="O101" s="64" t="s">
        <v>22</v>
      </c>
    </row>
    <row r="102" spans="1:15" x14ac:dyDescent="0.3">
      <c r="A102" s="64">
        <v>101</v>
      </c>
      <c r="B102" s="64">
        <v>7627</v>
      </c>
      <c r="C102" s="64" t="s">
        <v>32</v>
      </c>
      <c r="D102" s="64" t="s">
        <v>25</v>
      </c>
      <c r="E102" s="64">
        <v>36834</v>
      </c>
      <c r="F102" s="64">
        <v>3</v>
      </c>
      <c r="G102" s="64">
        <v>110502</v>
      </c>
      <c r="H102" s="65">
        <v>45449</v>
      </c>
      <c r="I102" s="64" t="s">
        <v>30</v>
      </c>
      <c r="J102" s="64" t="s">
        <v>27</v>
      </c>
      <c r="K102" s="64" t="s">
        <v>17</v>
      </c>
      <c r="L102" s="64">
        <v>4.3</v>
      </c>
      <c r="M102" s="66">
        <v>7.8376499972851177E-2</v>
      </c>
      <c r="N102" s="64">
        <v>24489.84</v>
      </c>
      <c r="O102" s="64" t="s">
        <v>22</v>
      </c>
    </row>
    <row r="103" spans="1:15" x14ac:dyDescent="0.3">
      <c r="A103" s="64">
        <v>102</v>
      </c>
      <c r="B103" s="64">
        <v>5977</v>
      </c>
      <c r="C103" s="64" t="s">
        <v>19</v>
      </c>
      <c r="D103" s="64" t="s">
        <v>14</v>
      </c>
      <c r="E103" s="64">
        <v>46816</v>
      </c>
      <c r="F103" s="64">
        <v>2</v>
      </c>
      <c r="G103" s="64">
        <v>93632</v>
      </c>
      <c r="H103" s="65">
        <v>45307</v>
      </c>
      <c r="I103" s="64" t="s">
        <v>30</v>
      </c>
      <c r="J103" s="64" t="s">
        <v>35</v>
      </c>
      <c r="K103" s="64" t="s">
        <v>24</v>
      </c>
      <c r="L103" s="64">
        <v>3.2</v>
      </c>
      <c r="M103" s="66">
        <v>0.22395815533151062</v>
      </c>
      <c r="N103" s="64">
        <v>7119.95</v>
      </c>
      <c r="O103" s="64" t="s">
        <v>22</v>
      </c>
    </row>
    <row r="104" spans="1:15" x14ac:dyDescent="0.3">
      <c r="A104" s="64">
        <v>103</v>
      </c>
      <c r="B104" s="64">
        <v>7381</v>
      </c>
      <c r="C104" s="64" t="s">
        <v>29</v>
      </c>
      <c r="D104" s="64" t="s">
        <v>20</v>
      </c>
      <c r="E104" s="64">
        <v>31414</v>
      </c>
      <c r="F104" s="64">
        <v>5</v>
      </c>
      <c r="G104" s="64">
        <v>157070</v>
      </c>
      <c r="H104" s="65">
        <v>45388</v>
      </c>
      <c r="I104" s="64" t="s">
        <v>30</v>
      </c>
      <c r="J104" s="64" t="s">
        <v>35</v>
      </c>
      <c r="K104" s="64" t="s">
        <v>17</v>
      </c>
      <c r="L104" s="64">
        <v>1.7</v>
      </c>
      <c r="M104" s="66">
        <v>7.3708983255873176E-2</v>
      </c>
      <c r="N104" s="64">
        <v>35543.53</v>
      </c>
      <c r="O104" s="64" t="s">
        <v>22</v>
      </c>
    </row>
    <row r="105" spans="1:15" x14ac:dyDescent="0.3">
      <c r="A105" s="64">
        <v>104</v>
      </c>
      <c r="B105" s="64">
        <v>8838</v>
      </c>
      <c r="C105" s="64" t="s">
        <v>13</v>
      </c>
      <c r="D105" s="64" t="s">
        <v>14</v>
      </c>
      <c r="E105" s="64">
        <v>43365</v>
      </c>
      <c r="F105" s="64">
        <v>5</v>
      </c>
      <c r="G105" s="64">
        <v>216825</v>
      </c>
      <c r="H105" s="65">
        <v>45519</v>
      </c>
      <c r="I105" s="64" t="s">
        <v>30</v>
      </c>
      <c r="J105" s="64" t="s">
        <v>16</v>
      </c>
      <c r="K105" s="64" t="s">
        <v>24</v>
      </c>
      <c r="L105" s="64">
        <v>2.7</v>
      </c>
      <c r="M105" s="66">
        <v>0.20672772973596218</v>
      </c>
      <c r="N105" s="64">
        <v>20223.759999999998</v>
      </c>
      <c r="O105" s="64" t="s">
        <v>18</v>
      </c>
    </row>
    <row r="106" spans="1:15" x14ac:dyDescent="0.3">
      <c r="A106" s="64">
        <v>105</v>
      </c>
      <c r="B106" s="64">
        <v>8550</v>
      </c>
      <c r="C106" s="64" t="s">
        <v>34</v>
      </c>
      <c r="D106" s="64" t="s">
        <v>20</v>
      </c>
      <c r="E106" s="64">
        <v>26710</v>
      </c>
      <c r="F106" s="64">
        <v>1</v>
      </c>
      <c r="G106" s="64">
        <v>26710</v>
      </c>
      <c r="H106" s="65">
        <v>45362</v>
      </c>
      <c r="I106" s="64" t="s">
        <v>30</v>
      </c>
      <c r="J106" s="64" t="s">
        <v>27</v>
      </c>
      <c r="K106" s="64" t="s">
        <v>17</v>
      </c>
      <c r="L106" s="64">
        <v>1.7</v>
      </c>
      <c r="M106" s="66">
        <v>9.5200673904904526E-2</v>
      </c>
      <c r="N106" s="64">
        <v>5470.19</v>
      </c>
      <c r="O106" s="64" t="s">
        <v>18</v>
      </c>
    </row>
    <row r="107" spans="1:15" x14ac:dyDescent="0.3">
      <c r="A107" s="64">
        <v>106</v>
      </c>
      <c r="B107" s="64">
        <v>3644</v>
      </c>
      <c r="C107" s="64" t="s">
        <v>19</v>
      </c>
      <c r="D107" s="64" t="s">
        <v>25</v>
      </c>
      <c r="E107" s="64">
        <v>38494</v>
      </c>
      <c r="F107" s="64">
        <v>1</v>
      </c>
      <c r="G107" s="64">
        <v>38494</v>
      </c>
      <c r="H107" s="65">
        <v>45579</v>
      </c>
      <c r="I107" s="64" t="s">
        <v>15</v>
      </c>
      <c r="J107" s="64" t="s">
        <v>16</v>
      </c>
      <c r="K107" s="64" t="s">
        <v>24</v>
      </c>
      <c r="L107" s="64">
        <v>1.9</v>
      </c>
      <c r="M107" s="66">
        <v>0.11005247571050034</v>
      </c>
      <c r="N107" s="64">
        <v>7311.84</v>
      </c>
      <c r="O107" s="64" t="s">
        <v>18</v>
      </c>
    </row>
    <row r="108" spans="1:15" x14ac:dyDescent="0.3">
      <c r="A108" s="64">
        <v>107</v>
      </c>
      <c r="B108" s="64">
        <v>5685</v>
      </c>
      <c r="C108" s="64" t="s">
        <v>32</v>
      </c>
      <c r="D108" s="64" t="s">
        <v>14</v>
      </c>
      <c r="E108" s="64">
        <v>16848</v>
      </c>
      <c r="F108" s="64">
        <v>2</v>
      </c>
      <c r="G108" s="64">
        <v>33696</v>
      </c>
      <c r="H108" s="65">
        <v>45550</v>
      </c>
      <c r="I108" s="64" t="s">
        <v>15</v>
      </c>
      <c r="J108" s="64" t="s">
        <v>31</v>
      </c>
      <c r="K108" s="64" t="s">
        <v>28</v>
      </c>
      <c r="L108" s="64">
        <v>4.5999999999999996</v>
      </c>
      <c r="M108" s="66">
        <v>0.26489672364672362</v>
      </c>
      <c r="N108" s="64">
        <v>1182.8399999999999</v>
      </c>
      <c r="O108" s="64" t="s">
        <v>22</v>
      </c>
    </row>
    <row r="109" spans="1:15" x14ac:dyDescent="0.3">
      <c r="A109" s="64">
        <v>108</v>
      </c>
      <c r="B109" s="64">
        <v>8317</v>
      </c>
      <c r="C109" s="64" t="s">
        <v>32</v>
      </c>
      <c r="D109" s="64" t="s">
        <v>14</v>
      </c>
      <c r="E109" s="64">
        <v>42245</v>
      </c>
      <c r="F109" s="64">
        <v>1</v>
      </c>
      <c r="G109" s="64">
        <v>42245</v>
      </c>
      <c r="H109" s="65">
        <v>45633</v>
      </c>
      <c r="I109" s="64" t="s">
        <v>15</v>
      </c>
      <c r="J109" s="64" t="s">
        <v>31</v>
      </c>
      <c r="K109" s="64" t="s">
        <v>28</v>
      </c>
      <c r="L109" s="64">
        <v>3.9</v>
      </c>
      <c r="M109" s="66">
        <v>0.13292342289028289</v>
      </c>
      <c r="N109" s="64">
        <v>7058.15</v>
      </c>
      <c r="O109" s="64" t="s">
        <v>22</v>
      </c>
    </row>
    <row r="110" spans="1:15" x14ac:dyDescent="0.3">
      <c r="A110" s="64">
        <v>109</v>
      </c>
      <c r="B110" s="64">
        <v>6122</v>
      </c>
      <c r="C110" s="64" t="s">
        <v>34</v>
      </c>
      <c r="D110" s="64" t="s">
        <v>25</v>
      </c>
      <c r="E110" s="64">
        <v>45852</v>
      </c>
      <c r="F110" s="64">
        <v>4</v>
      </c>
      <c r="G110" s="64">
        <v>183408</v>
      </c>
      <c r="H110" s="65">
        <v>45519</v>
      </c>
      <c r="I110" s="64" t="s">
        <v>26</v>
      </c>
      <c r="J110" s="64" t="s">
        <v>21</v>
      </c>
      <c r="K110" s="64" t="s">
        <v>24</v>
      </c>
      <c r="L110" s="64">
        <v>1</v>
      </c>
      <c r="M110" s="66">
        <v>0.12419158379132862</v>
      </c>
      <c r="N110" s="64">
        <v>32244.67</v>
      </c>
      <c r="O110" s="64" t="s">
        <v>22</v>
      </c>
    </row>
    <row r="111" spans="1:15" x14ac:dyDescent="0.3">
      <c r="A111" s="64">
        <v>110</v>
      </c>
      <c r="B111" s="64">
        <v>6013</v>
      </c>
      <c r="C111" s="64" t="s">
        <v>29</v>
      </c>
      <c r="D111" s="64" t="s">
        <v>20</v>
      </c>
      <c r="E111" s="64">
        <v>39494</v>
      </c>
      <c r="F111" s="64">
        <v>5</v>
      </c>
      <c r="G111" s="64">
        <v>197470</v>
      </c>
      <c r="H111" s="65">
        <v>45414</v>
      </c>
      <c r="I111" s="64" t="s">
        <v>30</v>
      </c>
      <c r="J111" s="64" t="s">
        <v>27</v>
      </c>
      <c r="K111" s="64" t="s">
        <v>17</v>
      </c>
      <c r="L111" s="64">
        <v>4.0999999999999996</v>
      </c>
      <c r="M111" s="66">
        <v>9.290160530713526E-2</v>
      </c>
      <c r="N111" s="64">
        <v>40895.72</v>
      </c>
      <c r="O111" s="64" t="s">
        <v>22</v>
      </c>
    </row>
    <row r="112" spans="1:15" x14ac:dyDescent="0.3">
      <c r="A112" s="64">
        <v>111</v>
      </c>
      <c r="B112" s="64">
        <v>9190</v>
      </c>
      <c r="C112" s="64" t="s">
        <v>29</v>
      </c>
      <c r="D112" s="64" t="s">
        <v>14</v>
      </c>
      <c r="E112" s="64">
        <v>16404</v>
      </c>
      <c r="F112" s="64">
        <v>4</v>
      </c>
      <c r="G112" s="64">
        <v>65616</v>
      </c>
      <c r="H112" s="65">
        <v>45454</v>
      </c>
      <c r="I112" s="64" t="s">
        <v>30</v>
      </c>
      <c r="J112" s="64" t="s">
        <v>35</v>
      </c>
      <c r="K112" s="64" t="s">
        <v>28</v>
      </c>
      <c r="L112" s="64">
        <v>3.6</v>
      </c>
      <c r="M112" s="66">
        <v>0.18139981102170202</v>
      </c>
      <c r="N112" s="64">
        <v>7782.07</v>
      </c>
      <c r="O112" s="64" t="s">
        <v>18</v>
      </c>
    </row>
    <row r="113" spans="1:15" x14ac:dyDescent="0.3">
      <c r="A113" s="64">
        <v>112</v>
      </c>
      <c r="B113" s="64">
        <v>1763</v>
      </c>
      <c r="C113" s="64" t="s">
        <v>29</v>
      </c>
      <c r="D113" s="64" t="s">
        <v>14</v>
      </c>
      <c r="E113" s="64">
        <v>12592</v>
      </c>
      <c r="F113" s="64">
        <v>1</v>
      </c>
      <c r="G113" s="64">
        <v>12592</v>
      </c>
      <c r="H113" s="65">
        <v>45437</v>
      </c>
      <c r="I113" s="64" t="s">
        <v>15</v>
      </c>
      <c r="J113" s="64" t="s">
        <v>16</v>
      </c>
      <c r="K113" s="64" t="s">
        <v>24</v>
      </c>
      <c r="L113" s="64">
        <v>3.3</v>
      </c>
      <c r="M113" s="66">
        <v>5.9514771283354508E-2</v>
      </c>
      <c r="N113" s="64">
        <v>3028.19</v>
      </c>
      <c r="O113" s="64" t="s">
        <v>22</v>
      </c>
    </row>
    <row r="114" spans="1:15" x14ac:dyDescent="0.3">
      <c r="A114" s="64">
        <v>113</v>
      </c>
      <c r="B114" s="64">
        <v>2276</v>
      </c>
      <c r="C114" s="64" t="s">
        <v>32</v>
      </c>
      <c r="D114" s="64" t="s">
        <v>14</v>
      </c>
      <c r="E114" s="64">
        <v>35123</v>
      </c>
      <c r="F114" s="64">
        <v>1</v>
      </c>
      <c r="G114" s="64">
        <v>35123</v>
      </c>
      <c r="H114" s="65">
        <v>45584</v>
      </c>
      <c r="I114" s="64" t="s">
        <v>30</v>
      </c>
      <c r="J114" s="64" t="s">
        <v>35</v>
      </c>
      <c r="K114" s="64" t="s">
        <v>24</v>
      </c>
      <c r="L114" s="64">
        <v>4.3</v>
      </c>
      <c r="M114" s="66">
        <v>7.2704210915924036E-2</v>
      </c>
      <c r="N114" s="64">
        <v>7983.31</v>
      </c>
      <c r="O114" s="64" t="s">
        <v>18</v>
      </c>
    </row>
    <row r="115" spans="1:15" x14ac:dyDescent="0.3">
      <c r="A115" s="64">
        <v>114</v>
      </c>
      <c r="B115" s="64">
        <v>3560</v>
      </c>
      <c r="C115" s="64" t="s">
        <v>34</v>
      </c>
      <c r="D115" s="64" t="s">
        <v>25</v>
      </c>
      <c r="E115" s="64">
        <v>27675</v>
      </c>
      <c r="F115" s="64">
        <v>4</v>
      </c>
      <c r="G115" s="64">
        <v>110700</v>
      </c>
      <c r="H115" s="65">
        <v>45533</v>
      </c>
      <c r="I115" s="64" t="s">
        <v>30</v>
      </c>
      <c r="J115" s="64" t="s">
        <v>27</v>
      </c>
      <c r="K115" s="64" t="s">
        <v>24</v>
      </c>
      <c r="L115" s="64">
        <v>4.7</v>
      </c>
      <c r="M115" s="66">
        <v>6.2764498644986441E-2</v>
      </c>
      <c r="N115" s="64">
        <v>26261.97</v>
      </c>
      <c r="O115" s="64" t="s">
        <v>22</v>
      </c>
    </row>
    <row r="116" spans="1:15" x14ac:dyDescent="0.3">
      <c r="A116" s="64">
        <v>115</v>
      </c>
      <c r="B116" s="64">
        <v>2765</v>
      </c>
      <c r="C116" s="64" t="s">
        <v>32</v>
      </c>
      <c r="D116" s="64" t="s">
        <v>14</v>
      </c>
      <c r="E116" s="64">
        <v>33319</v>
      </c>
      <c r="F116" s="64">
        <v>5</v>
      </c>
      <c r="G116" s="64">
        <v>166595</v>
      </c>
      <c r="H116" s="65">
        <v>45383</v>
      </c>
      <c r="I116" s="64" t="s">
        <v>30</v>
      </c>
      <c r="J116" s="64" t="s">
        <v>21</v>
      </c>
      <c r="K116" s="64" t="s">
        <v>17</v>
      </c>
      <c r="L116" s="64">
        <v>2.7</v>
      </c>
      <c r="M116" s="66">
        <v>0.1037503526516402</v>
      </c>
      <c r="N116" s="64">
        <v>32694.21</v>
      </c>
      <c r="O116" s="64" t="s">
        <v>22</v>
      </c>
    </row>
    <row r="117" spans="1:15" x14ac:dyDescent="0.3">
      <c r="A117" s="64">
        <v>116</v>
      </c>
      <c r="B117" s="64">
        <v>4678</v>
      </c>
      <c r="C117" s="64" t="s">
        <v>32</v>
      </c>
      <c r="D117" s="64" t="s">
        <v>14</v>
      </c>
      <c r="E117" s="64">
        <v>36375</v>
      </c>
      <c r="F117" s="64">
        <v>4</v>
      </c>
      <c r="G117" s="64">
        <v>145500</v>
      </c>
      <c r="H117" s="65">
        <v>45543</v>
      </c>
      <c r="I117" s="64" t="s">
        <v>26</v>
      </c>
      <c r="J117" s="64" t="s">
        <v>27</v>
      </c>
      <c r="K117" s="64" t="s">
        <v>24</v>
      </c>
      <c r="L117" s="64">
        <v>4.5999999999999996</v>
      </c>
      <c r="M117" s="66">
        <v>5.3696151202749141E-2</v>
      </c>
      <c r="N117" s="64">
        <v>35837.21</v>
      </c>
      <c r="O117" s="64" t="s">
        <v>22</v>
      </c>
    </row>
    <row r="118" spans="1:15" x14ac:dyDescent="0.3">
      <c r="A118" s="64">
        <v>117</v>
      </c>
      <c r="B118" s="64">
        <v>4898</v>
      </c>
      <c r="C118" s="64" t="s">
        <v>32</v>
      </c>
      <c r="D118" s="64" t="s">
        <v>14</v>
      </c>
      <c r="E118" s="64">
        <v>17364</v>
      </c>
      <c r="F118" s="64">
        <v>3</v>
      </c>
      <c r="G118" s="64">
        <v>52092</v>
      </c>
      <c r="H118" s="65">
        <v>45645</v>
      </c>
      <c r="I118" s="64" t="s">
        <v>26</v>
      </c>
      <c r="J118" s="64" t="s">
        <v>21</v>
      </c>
      <c r="K118" s="64" t="s">
        <v>28</v>
      </c>
      <c r="L118" s="64">
        <v>2.8</v>
      </c>
      <c r="M118" s="66">
        <v>0.22432926361053521</v>
      </c>
      <c r="N118" s="64">
        <v>3941.84</v>
      </c>
      <c r="O118" s="64" t="s">
        <v>22</v>
      </c>
    </row>
    <row r="119" spans="1:15" x14ac:dyDescent="0.3">
      <c r="A119" s="64">
        <v>118</v>
      </c>
      <c r="B119" s="64">
        <v>3576</v>
      </c>
      <c r="C119" s="64" t="s">
        <v>29</v>
      </c>
      <c r="D119" s="64" t="s">
        <v>25</v>
      </c>
      <c r="E119" s="64">
        <v>8575</v>
      </c>
      <c r="F119" s="64">
        <v>5</v>
      </c>
      <c r="G119" s="64">
        <v>42875</v>
      </c>
      <c r="H119" s="65">
        <v>45604</v>
      </c>
      <c r="I119" s="64" t="s">
        <v>30</v>
      </c>
      <c r="J119" s="64" t="s">
        <v>16</v>
      </c>
      <c r="K119" s="64" t="s">
        <v>28</v>
      </c>
      <c r="L119" s="64">
        <v>3.4</v>
      </c>
      <c r="M119" s="66">
        <v>0.1310458309037901</v>
      </c>
      <c r="N119" s="64">
        <v>7243.91</v>
      </c>
      <c r="O119" s="64" t="s">
        <v>22</v>
      </c>
    </row>
    <row r="120" spans="1:15" x14ac:dyDescent="0.3">
      <c r="A120" s="64">
        <v>119</v>
      </c>
      <c r="B120" s="64">
        <v>6025</v>
      </c>
      <c r="C120" s="64" t="s">
        <v>19</v>
      </c>
      <c r="D120" s="64" t="s">
        <v>20</v>
      </c>
      <c r="E120" s="64">
        <v>38931</v>
      </c>
      <c r="F120" s="64">
        <v>3</v>
      </c>
      <c r="G120" s="64">
        <v>116793</v>
      </c>
      <c r="H120" s="65">
        <v>45604</v>
      </c>
      <c r="I120" s="64" t="s">
        <v>33</v>
      </c>
      <c r="J120" s="64" t="s">
        <v>16</v>
      </c>
      <c r="K120" s="64" t="s">
        <v>17</v>
      </c>
      <c r="L120" s="64">
        <v>2.2999999999999998</v>
      </c>
      <c r="M120" s="66">
        <v>0.19143527437432037</v>
      </c>
      <c r="N120" s="64">
        <v>12679.6</v>
      </c>
      <c r="O120" s="64" t="s">
        <v>22</v>
      </c>
    </row>
    <row r="121" spans="1:15" x14ac:dyDescent="0.3">
      <c r="A121" s="64">
        <v>120</v>
      </c>
      <c r="B121" s="64">
        <v>9589</v>
      </c>
      <c r="C121" s="64" t="s">
        <v>29</v>
      </c>
      <c r="D121" s="64" t="s">
        <v>25</v>
      </c>
      <c r="E121" s="64">
        <v>40674</v>
      </c>
      <c r="F121" s="64">
        <v>2</v>
      </c>
      <c r="G121" s="64">
        <v>81348</v>
      </c>
      <c r="H121" s="65">
        <v>45331</v>
      </c>
      <c r="I121" s="64" t="s">
        <v>26</v>
      </c>
      <c r="J121" s="64" t="s">
        <v>35</v>
      </c>
      <c r="K121" s="64" t="s">
        <v>17</v>
      </c>
      <c r="L121" s="64">
        <v>1.8</v>
      </c>
      <c r="M121" s="66">
        <v>0.27846081034567538</v>
      </c>
      <c r="N121" s="64">
        <v>1752.17</v>
      </c>
      <c r="O121" s="64" t="s">
        <v>22</v>
      </c>
    </row>
    <row r="122" spans="1:15" x14ac:dyDescent="0.3">
      <c r="A122" s="64">
        <v>121</v>
      </c>
      <c r="B122" s="64">
        <v>6347</v>
      </c>
      <c r="C122" s="64" t="s">
        <v>19</v>
      </c>
      <c r="D122" s="64" t="s">
        <v>20</v>
      </c>
      <c r="E122" s="64">
        <v>33410</v>
      </c>
      <c r="F122" s="64">
        <v>4</v>
      </c>
      <c r="G122" s="64">
        <v>133640</v>
      </c>
      <c r="H122" s="65">
        <v>45639</v>
      </c>
      <c r="I122" s="64" t="s">
        <v>33</v>
      </c>
      <c r="J122" s="64" t="s">
        <v>16</v>
      </c>
      <c r="K122" s="64" t="s">
        <v>17</v>
      </c>
      <c r="L122" s="64">
        <v>4.3</v>
      </c>
      <c r="M122" s="66">
        <v>0.27112092187967674</v>
      </c>
      <c r="N122" s="64">
        <v>3859.4</v>
      </c>
      <c r="O122" s="64" t="s">
        <v>22</v>
      </c>
    </row>
    <row r="123" spans="1:15" x14ac:dyDescent="0.3">
      <c r="A123" s="64">
        <v>122</v>
      </c>
      <c r="B123" s="64">
        <v>3479</v>
      </c>
      <c r="C123" s="64" t="s">
        <v>23</v>
      </c>
      <c r="D123" s="64" t="s">
        <v>14</v>
      </c>
      <c r="E123" s="64">
        <v>16183</v>
      </c>
      <c r="F123" s="64">
        <v>3</v>
      </c>
      <c r="G123" s="64">
        <v>48549</v>
      </c>
      <c r="H123" s="65">
        <v>45566</v>
      </c>
      <c r="I123" s="64" t="s">
        <v>30</v>
      </c>
      <c r="J123" s="64" t="s">
        <v>31</v>
      </c>
      <c r="K123" s="64" t="s">
        <v>28</v>
      </c>
      <c r="L123" s="64">
        <v>4.2</v>
      </c>
      <c r="M123" s="66">
        <v>5.2494387114049725E-2</v>
      </c>
      <c r="N123" s="64">
        <v>12016.15</v>
      </c>
      <c r="O123" s="64" t="s">
        <v>18</v>
      </c>
    </row>
    <row r="124" spans="1:15" x14ac:dyDescent="0.3">
      <c r="A124" s="64">
        <v>123</v>
      </c>
      <c r="B124" s="64">
        <v>7177</v>
      </c>
      <c r="C124" s="64" t="s">
        <v>29</v>
      </c>
      <c r="D124" s="64" t="s">
        <v>25</v>
      </c>
      <c r="E124" s="64">
        <v>23953</v>
      </c>
      <c r="F124" s="64">
        <v>1</v>
      </c>
      <c r="G124" s="64">
        <v>23953</v>
      </c>
      <c r="H124" s="65">
        <v>45396</v>
      </c>
      <c r="I124" s="64" t="s">
        <v>33</v>
      </c>
      <c r="J124" s="64" t="s">
        <v>31</v>
      </c>
      <c r="K124" s="64" t="s">
        <v>24</v>
      </c>
      <c r="L124" s="64">
        <v>1.5</v>
      </c>
      <c r="M124" s="66">
        <v>0.10558760906775769</v>
      </c>
      <c r="N124" s="64">
        <v>4656.76</v>
      </c>
      <c r="O124" s="64" t="s">
        <v>22</v>
      </c>
    </row>
    <row r="125" spans="1:15" x14ac:dyDescent="0.3">
      <c r="A125" s="64">
        <v>124</v>
      </c>
      <c r="B125" s="64">
        <v>5670</v>
      </c>
      <c r="C125" s="64" t="s">
        <v>19</v>
      </c>
      <c r="D125" s="64" t="s">
        <v>25</v>
      </c>
      <c r="E125" s="64">
        <v>30268</v>
      </c>
      <c r="F125" s="64">
        <v>1</v>
      </c>
      <c r="G125" s="64">
        <v>30268</v>
      </c>
      <c r="H125" s="65">
        <v>45562</v>
      </c>
      <c r="I125" s="64" t="s">
        <v>30</v>
      </c>
      <c r="J125" s="64" t="s">
        <v>16</v>
      </c>
      <c r="K125" s="64" t="s">
        <v>17</v>
      </c>
      <c r="L125" s="64">
        <v>2</v>
      </c>
      <c r="M125" s="66">
        <v>0.1754949121184089</v>
      </c>
      <c r="N125" s="64">
        <v>3768.52</v>
      </c>
      <c r="O125" s="64" t="s">
        <v>22</v>
      </c>
    </row>
    <row r="126" spans="1:15" x14ac:dyDescent="0.3">
      <c r="A126" s="64">
        <v>125</v>
      </c>
      <c r="B126" s="64">
        <v>5198</v>
      </c>
      <c r="C126" s="64" t="s">
        <v>32</v>
      </c>
      <c r="D126" s="64" t="s">
        <v>14</v>
      </c>
      <c r="E126" s="64">
        <v>36892</v>
      </c>
      <c r="F126" s="64">
        <v>5</v>
      </c>
      <c r="G126" s="64">
        <v>184460</v>
      </c>
      <c r="H126" s="65">
        <v>45328</v>
      </c>
      <c r="I126" s="64" t="s">
        <v>15</v>
      </c>
      <c r="J126" s="64" t="s">
        <v>21</v>
      </c>
      <c r="K126" s="64" t="s">
        <v>28</v>
      </c>
      <c r="L126" s="64">
        <v>4.3</v>
      </c>
      <c r="M126" s="66">
        <v>0.1289120676569446</v>
      </c>
      <c r="N126" s="64">
        <v>31558.880000000001</v>
      </c>
      <c r="O126" s="64" t="s">
        <v>18</v>
      </c>
    </row>
    <row r="127" spans="1:15" x14ac:dyDescent="0.3">
      <c r="A127" s="64">
        <v>126</v>
      </c>
      <c r="B127" s="64">
        <v>5025</v>
      </c>
      <c r="C127" s="64" t="s">
        <v>32</v>
      </c>
      <c r="D127" s="64" t="s">
        <v>14</v>
      </c>
      <c r="E127" s="64">
        <v>969</v>
      </c>
      <c r="F127" s="64">
        <v>2</v>
      </c>
      <c r="G127" s="64">
        <v>1938</v>
      </c>
      <c r="H127" s="65">
        <v>45553</v>
      </c>
      <c r="I127" s="64" t="s">
        <v>33</v>
      </c>
      <c r="J127" s="64" t="s">
        <v>35</v>
      </c>
      <c r="K127" s="64" t="s">
        <v>24</v>
      </c>
      <c r="L127" s="64">
        <v>1.6</v>
      </c>
      <c r="M127" s="66">
        <v>0.24594427244582043</v>
      </c>
      <c r="N127" s="64">
        <v>104.76</v>
      </c>
      <c r="O127" s="64" t="s">
        <v>18</v>
      </c>
    </row>
    <row r="128" spans="1:15" x14ac:dyDescent="0.3">
      <c r="A128" s="64">
        <v>127</v>
      </c>
      <c r="B128" s="64">
        <v>9359</v>
      </c>
      <c r="C128" s="64" t="s">
        <v>29</v>
      </c>
      <c r="D128" s="64" t="s">
        <v>25</v>
      </c>
      <c r="E128" s="64">
        <v>20498</v>
      </c>
      <c r="F128" s="64">
        <v>2</v>
      </c>
      <c r="G128" s="64">
        <v>40996</v>
      </c>
      <c r="H128" s="65">
        <v>45393</v>
      </c>
      <c r="I128" s="64" t="s">
        <v>26</v>
      </c>
      <c r="J128" s="64" t="s">
        <v>27</v>
      </c>
      <c r="K128" s="64" t="s">
        <v>28</v>
      </c>
      <c r="L128" s="64">
        <v>2.9</v>
      </c>
      <c r="M128" s="66">
        <v>0.25644940969850716</v>
      </c>
      <c r="N128" s="64">
        <v>1785.4</v>
      </c>
      <c r="O128" s="64" t="s">
        <v>18</v>
      </c>
    </row>
    <row r="129" spans="1:15" x14ac:dyDescent="0.3">
      <c r="A129" s="64">
        <v>128</v>
      </c>
      <c r="B129" s="64">
        <v>8022</v>
      </c>
      <c r="C129" s="64" t="s">
        <v>23</v>
      </c>
      <c r="D129" s="64" t="s">
        <v>25</v>
      </c>
      <c r="E129" s="64">
        <v>47668</v>
      </c>
      <c r="F129" s="64">
        <v>3</v>
      </c>
      <c r="G129" s="64">
        <v>143004</v>
      </c>
      <c r="H129" s="65">
        <v>45474</v>
      </c>
      <c r="I129" s="64" t="s">
        <v>26</v>
      </c>
      <c r="J129" s="64" t="s">
        <v>35</v>
      </c>
      <c r="K129" s="64" t="s">
        <v>17</v>
      </c>
      <c r="L129" s="64">
        <v>3.8</v>
      </c>
      <c r="M129" s="66">
        <v>0.10090815641520517</v>
      </c>
      <c r="N129" s="64">
        <v>28470.93</v>
      </c>
      <c r="O129" s="64" t="s">
        <v>18</v>
      </c>
    </row>
    <row r="130" spans="1:15" x14ac:dyDescent="0.3">
      <c r="A130" s="64">
        <v>129</v>
      </c>
      <c r="B130" s="64">
        <v>4079</v>
      </c>
      <c r="C130" s="64" t="s">
        <v>19</v>
      </c>
      <c r="D130" s="64" t="s">
        <v>25</v>
      </c>
      <c r="E130" s="64">
        <v>43734</v>
      </c>
      <c r="F130" s="64">
        <v>4</v>
      </c>
      <c r="G130" s="64">
        <v>174936</v>
      </c>
      <c r="H130" s="65">
        <v>45617</v>
      </c>
      <c r="I130" s="64" t="s">
        <v>33</v>
      </c>
      <c r="J130" s="64" t="s">
        <v>35</v>
      </c>
      <c r="K130" s="64" t="s">
        <v>17</v>
      </c>
      <c r="L130" s="64">
        <v>3.4</v>
      </c>
      <c r="M130" s="66">
        <v>7.5028524717611011E-2</v>
      </c>
      <c r="N130" s="64">
        <v>39355.61</v>
      </c>
      <c r="O130" s="64" t="s">
        <v>18</v>
      </c>
    </row>
    <row r="131" spans="1:15" x14ac:dyDescent="0.3">
      <c r="A131" s="64">
        <v>130</v>
      </c>
      <c r="B131" s="64">
        <v>5663</v>
      </c>
      <c r="C131" s="64" t="s">
        <v>19</v>
      </c>
      <c r="D131" s="64" t="s">
        <v>14</v>
      </c>
      <c r="E131" s="64">
        <v>2534</v>
      </c>
      <c r="F131" s="64">
        <v>4</v>
      </c>
      <c r="G131" s="64">
        <v>10136</v>
      </c>
      <c r="H131" s="65">
        <v>45646</v>
      </c>
      <c r="I131" s="64" t="s">
        <v>30</v>
      </c>
      <c r="J131" s="64" t="s">
        <v>16</v>
      </c>
      <c r="K131" s="64" t="s">
        <v>24</v>
      </c>
      <c r="L131" s="64">
        <v>1.2</v>
      </c>
      <c r="M131" s="66">
        <v>0.18278413575374902</v>
      </c>
      <c r="N131" s="64">
        <v>1188.0999999999999</v>
      </c>
      <c r="O131" s="64" t="s">
        <v>18</v>
      </c>
    </row>
    <row r="132" spans="1:15" x14ac:dyDescent="0.3">
      <c r="A132" s="64">
        <v>131</v>
      </c>
      <c r="B132" s="64">
        <v>6009</v>
      </c>
      <c r="C132" s="64" t="s">
        <v>32</v>
      </c>
      <c r="D132" s="64" t="s">
        <v>14</v>
      </c>
      <c r="E132" s="64">
        <v>36603</v>
      </c>
      <c r="F132" s="64">
        <v>2</v>
      </c>
      <c r="G132" s="64">
        <v>73206</v>
      </c>
      <c r="H132" s="65">
        <v>45372</v>
      </c>
      <c r="I132" s="64" t="s">
        <v>33</v>
      </c>
      <c r="J132" s="64" t="s">
        <v>16</v>
      </c>
      <c r="K132" s="64" t="s">
        <v>17</v>
      </c>
      <c r="L132" s="64">
        <v>4.2</v>
      </c>
      <c r="M132" s="66">
        <v>0.18291478840532197</v>
      </c>
      <c r="N132" s="64">
        <v>8571.34</v>
      </c>
      <c r="O132" s="64" t="s">
        <v>18</v>
      </c>
    </row>
    <row r="133" spans="1:15" x14ac:dyDescent="0.3">
      <c r="A133" s="64">
        <v>132</v>
      </c>
      <c r="B133" s="64">
        <v>2745</v>
      </c>
      <c r="C133" s="64" t="s">
        <v>32</v>
      </c>
      <c r="D133" s="64" t="s">
        <v>25</v>
      </c>
      <c r="E133" s="64">
        <v>22584</v>
      </c>
      <c r="F133" s="64">
        <v>3</v>
      </c>
      <c r="G133" s="64">
        <v>67752</v>
      </c>
      <c r="H133" s="65">
        <v>45637</v>
      </c>
      <c r="I133" s="64" t="s">
        <v>30</v>
      </c>
      <c r="J133" s="64" t="s">
        <v>27</v>
      </c>
      <c r="K133" s="64" t="s">
        <v>24</v>
      </c>
      <c r="L133" s="64">
        <v>3.1</v>
      </c>
      <c r="M133" s="66">
        <v>0.10242826780021254</v>
      </c>
      <c r="N133" s="64">
        <v>13385.88</v>
      </c>
      <c r="O133" s="64" t="s">
        <v>18</v>
      </c>
    </row>
    <row r="134" spans="1:15" x14ac:dyDescent="0.3">
      <c r="A134" s="64">
        <v>133</v>
      </c>
      <c r="B134" s="64">
        <v>2550</v>
      </c>
      <c r="C134" s="64" t="s">
        <v>23</v>
      </c>
      <c r="D134" s="64" t="s">
        <v>14</v>
      </c>
      <c r="E134" s="64">
        <v>33755</v>
      </c>
      <c r="F134" s="64">
        <v>5</v>
      </c>
      <c r="G134" s="64">
        <v>168775</v>
      </c>
      <c r="H134" s="65">
        <v>45485</v>
      </c>
      <c r="I134" s="64" t="s">
        <v>33</v>
      </c>
      <c r="J134" s="64" t="s">
        <v>35</v>
      </c>
      <c r="K134" s="64" t="s">
        <v>17</v>
      </c>
      <c r="L134" s="64">
        <v>4</v>
      </c>
      <c r="M134" s="66">
        <v>0.28813526884905938</v>
      </c>
      <c r="N134" s="64">
        <v>2002.47</v>
      </c>
      <c r="O134" s="64" t="s">
        <v>22</v>
      </c>
    </row>
    <row r="135" spans="1:15" x14ac:dyDescent="0.3">
      <c r="A135" s="64">
        <v>134</v>
      </c>
      <c r="B135" s="64">
        <v>5588</v>
      </c>
      <c r="C135" s="64" t="s">
        <v>13</v>
      </c>
      <c r="D135" s="64" t="s">
        <v>14</v>
      </c>
      <c r="E135" s="64">
        <v>35891</v>
      </c>
      <c r="F135" s="64">
        <v>5</v>
      </c>
      <c r="G135" s="64">
        <v>179455</v>
      </c>
      <c r="H135" s="65">
        <v>45443</v>
      </c>
      <c r="I135" s="64" t="s">
        <v>15</v>
      </c>
      <c r="J135" s="64" t="s">
        <v>27</v>
      </c>
      <c r="K135" s="64" t="s">
        <v>28</v>
      </c>
      <c r="L135" s="64">
        <v>4.9000000000000004</v>
      </c>
      <c r="M135" s="66">
        <v>0.17143891226212699</v>
      </c>
      <c r="N135" s="64">
        <v>23070.93</v>
      </c>
      <c r="O135" s="64" t="s">
        <v>22</v>
      </c>
    </row>
    <row r="136" spans="1:15" x14ac:dyDescent="0.3">
      <c r="A136" s="64">
        <v>135</v>
      </c>
      <c r="B136" s="64">
        <v>9584</v>
      </c>
      <c r="C136" s="64" t="s">
        <v>29</v>
      </c>
      <c r="D136" s="64" t="s">
        <v>25</v>
      </c>
      <c r="E136" s="64">
        <v>13480</v>
      </c>
      <c r="F136" s="64">
        <v>2</v>
      </c>
      <c r="G136" s="64">
        <v>26960</v>
      </c>
      <c r="H136" s="65">
        <v>45453</v>
      </c>
      <c r="I136" s="64" t="s">
        <v>33</v>
      </c>
      <c r="J136" s="64" t="s">
        <v>16</v>
      </c>
      <c r="K136" s="64" t="s">
        <v>17</v>
      </c>
      <c r="L136" s="64">
        <v>3.2</v>
      </c>
      <c r="M136" s="66">
        <v>0.27737166172106825</v>
      </c>
      <c r="N136" s="64">
        <v>610.05999999999995</v>
      </c>
      <c r="O136" s="64" t="s">
        <v>22</v>
      </c>
    </row>
    <row r="137" spans="1:15" x14ac:dyDescent="0.3">
      <c r="A137" s="64">
        <v>136</v>
      </c>
      <c r="B137" s="64">
        <v>2503</v>
      </c>
      <c r="C137" s="64" t="s">
        <v>23</v>
      </c>
      <c r="D137" s="64" t="s">
        <v>25</v>
      </c>
      <c r="E137" s="64">
        <v>4744</v>
      </c>
      <c r="F137" s="64">
        <v>4</v>
      </c>
      <c r="G137" s="64">
        <v>18976</v>
      </c>
      <c r="H137" s="65">
        <v>45334</v>
      </c>
      <c r="I137" s="64" t="s">
        <v>26</v>
      </c>
      <c r="J137" s="64" t="s">
        <v>35</v>
      </c>
      <c r="K137" s="64" t="s">
        <v>17</v>
      </c>
      <c r="L137" s="64">
        <v>2.7</v>
      </c>
      <c r="M137" s="66">
        <v>0.23161677908937606</v>
      </c>
      <c r="N137" s="64">
        <v>1297.6400000000001</v>
      </c>
      <c r="O137" s="64" t="s">
        <v>18</v>
      </c>
    </row>
    <row r="138" spans="1:15" x14ac:dyDescent="0.3">
      <c r="A138" s="64">
        <v>137</v>
      </c>
      <c r="B138" s="64">
        <v>1965</v>
      </c>
      <c r="C138" s="64" t="s">
        <v>23</v>
      </c>
      <c r="D138" s="64" t="s">
        <v>25</v>
      </c>
      <c r="E138" s="64">
        <v>11837</v>
      </c>
      <c r="F138" s="64">
        <v>3</v>
      </c>
      <c r="G138" s="64">
        <v>35511</v>
      </c>
      <c r="H138" s="65">
        <v>45545</v>
      </c>
      <c r="I138" s="64" t="s">
        <v>33</v>
      </c>
      <c r="J138" s="64" t="s">
        <v>27</v>
      </c>
      <c r="K138" s="64" t="s">
        <v>17</v>
      </c>
      <c r="L138" s="64">
        <v>1.7</v>
      </c>
      <c r="M138" s="66">
        <v>0.15465348765171355</v>
      </c>
      <c r="N138" s="64">
        <v>5161.3999999999996</v>
      </c>
      <c r="O138" s="64" t="s">
        <v>22</v>
      </c>
    </row>
    <row r="139" spans="1:15" x14ac:dyDescent="0.3">
      <c r="A139" s="64">
        <v>138</v>
      </c>
      <c r="B139" s="64">
        <v>8668</v>
      </c>
      <c r="C139" s="64" t="s">
        <v>13</v>
      </c>
      <c r="D139" s="64" t="s">
        <v>14</v>
      </c>
      <c r="E139" s="64">
        <v>41087</v>
      </c>
      <c r="F139" s="64">
        <v>4</v>
      </c>
      <c r="G139" s="64">
        <v>164348</v>
      </c>
      <c r="H139" s="65">
        <v>45584</v>
      </c>
      <c r="I139" s="64" t="s">
        <v>30</v>
      </c>
      <c r="J139" s="64" t="s">
        <v>31</v>
      </c>
      <c r="K139" s="64" t="s">
        <v>17</v>
      </c>
      <c r="L139" s="64">
        <v>1.4</v>
      </c>
      <c r="M139" s="66">
        <v>0.19596672913573637</v>
      </c>
      <c r="N139" s="64">
        <v>17097.66</v>
      </c>
      <c r="O139" s="64" t="s">
        <v>22</v>
      </c>
    </row>
    <row r="140" spans="1:15" x14ac:dyDescent="0.3">
      <c r="A140" s="64">
        <v>139</v>
      </c>
      <c r="B140" s="64">
        <v>1516</v>
      </c>
      <c r="C140" s="64" t="s">
        <v>13</v>
      </c>
      <c r="D140" s="64" t="s">
        <v>14</v>
      </c>
      <c r="E140" s="64">
        <v>18820</v>
      </c>
      <c r="F140" s="64">
        <v>1</v>
      </c>
      <c r="G140" s="64">
        <v>18820</v>
      </c>
      <c r="H140" s="65">
        <v>45508</v>
      </c>
      <c r="I140" s="64" t="s">
        <v>15</v>
      </c>
      <c r="J140" s="64" t="s">
        <v>35</v>
      </c>
      <c r="K140" s="64" t="s">
        <v>28</v>
      </c>
      <c r="L140" s="64">
        <v>1.4</v>
      </c>
      <c r="M140" s="66">
        <v>0.15760892667375132</v>
      </c>
      <c r="N140" s="64">
        <v>2679.8</v>
      </c>
      <c r="O140" s="64" t="s">
        <v>18</v>
      </c>
    </row>
    <row r="141" spans="1:15" x14ac:dyDescent="0.3">
      <c r="A141" s="64">
        <v>140</v>
      </c>
      <c r="B141" s="64">
        <v>9008</v>
      </c>
      <c r="C141" s="64" t="s">
        <v>29</v>
      </c>
      <c r="D141" s="64" t="s">
        <v>14</v>
      </c>
      <c r="E141" s="64">
        <v>28070</v>
      </c>
      <c r="F141" s="64">
        <v>4</v>
      </c>
      <c r="G141" s="64">
        <v>112280</v>
      </c>
      <c r="H141" s="65">
        <v>45537</v>
      </c>
      <c r="I141" s="64" t="s">
        <v>15</v>
      </c>
      <c r="J141" s="64" t="s">
        <v>16</v>
      </c>
      <c r="K141" s="64" t="s">
        <v>28</v>
      </c>
      <c r="L141" s="64">
        <v>4.4000000000000004</v>
      </c>
      <c r="M141" s="66">
        <v>0.201371125757036</v>
      </c>
      <c r="N141" s="64">
        <v>11074.05</v>
      </c>
      <c r="O141" s="64" t="s">
        <v>22</v>
      </c>
    </row>
    <row r="142" spans="1:15" x14ac:dyDescent="0.3">
      <c r="A142" s="64">
        <v>141</v>
      </c>
      <c r="B142" s="64">
        <v>3183</v>
      </c>
      <c r="C142" s="64" t="s">
        <v>29</v>
      </c>
      <c r="D142" s="64" t="s">
        <v>25</v>
      </c>
      <c r="E142" s="64">
        <v>18530</v>
      </c>
      <c r="F142" s="64">
        <v>4</v>
      </c>
      <c r="G142" s="64">
        <v>74120</v>
      </c>
      <c r="H142" s="65">
        <v>45535</v>
      </c>
      <c r="I142" s="64" t="s">
        <v>30</v>
      </c>
      <c r="J142" s="64" t="s">
        <v>27</v>
      </c>
      <c r="K142" s="64" t="s">
        <v>17</v>
      </c>
      <c r="L142" s="64">
        <v>3</v>
      </c>
      <c r="M142" s="66">
        <v>9.8528467350242857E-2</v>
      </c>
      <c r="N142" s="64">
        <v>14933.07</v>
      </c>
      <c r="O142" s="64" t="s">
        <v>22</v>
      </c>
    </row>
    <row r="143" spans="1:15" x14ac:dyDescent="0.3">
      <c r="A143" s="64">
        <v>142</v>
      </c>
      <c r="B143" s="64">
        <v>8525</v>
      </c>
      <c r="C143" s="64" t="s">
        <v>32</v>
      </c>
      <c r="D143" s="64" t="s">
        <v>20</v>
      </c>
      <c r="E143" s="64">
        <v>15394</v>
      </c>
      <c r="F143" s="64">
        <v>4</v>
      </c>
      <c r="G143" s="64">
        <v>61576</v>
      </c>
      <c r="H143" s="65">
        <v>45649</v>
      </c>
      <c r="I143" s="64" t="s">
        <v>26</v>
      </c>
      <c r="J143" s="64" t="s">
        <v>31</v>
      </c>
      <c r="K143" s="64" t="s">
        <v>28</v>
      </c>
      <c r="L143" s="64">
        <v>4.2</v>
      </c>
      <c r="M143" s="66">
        <v>0.26475558659217879</v>
      </c>
      <c r="N143" s="64">
        <v>2170.21</v>
      </c>
      <c r="O143" s="64" t="s">
        <v>22</v>
      </c>
    </row>
    <row r="144" spans="1:15" x14ac:dyDescent="0.3">
      <c r="A144" s="64">
        <v>143</v>
      </c>
      <c r="B144" s="64">
        <v>7729</v>
      </c>
      <c r="C144" s="64" t="s">
        <v>29</v>
      </c>
      <c r="D144" s="64" t="s">
        <v>20</v>
      </c>
      <c r="E144" s="64">
        <v>37869</v>
      </c>
      <c r="F144" s="64">
        <v>4</v>
      </c>
      <c r="G144" s="64">
        <v>151476</v>
      </c>
      <c r="H144" s="65">
        <v>45509</v>
      </c>
      <c r="I144" s="64" t="s">
        <v>33</v>
      </c>
      <c r="J144" s="64" t="s">
        <v>35</v>
      </c>
      <c r="K144" s="64" t="s">
        <v>24</v>
      </c>
      <c r="L144" s="64">
        <v>3</v>
      </c>
      <c r="M144" s="66">
        <v>0.24270003168818824</v>
      </c>
      <c r="N144" s="64">
        <v>8679.57</v>
      </c>
      <c r="O144" s="64" t="s">
        <v>18</v>
      </c>
    </row>
    <row r="145" spans="1:15" x14ac:dyDescent="0.3">
      <c r="A145" s="64">
        <v>144</v>
      </c>
      <c r="B145" s="64">
        <v>9907</v>
      </c>
      <c r="C145" s="64" t="s">
        <v>23</v>
      </c>
      <c r="D145" s="64" t="s">
        <v>20</v>
      </c>
      <c r="E145" s="64">
        <v>32116</v>
      </c>
      <c r="F145" s="64">
        <v>5</v>
      </c>
      <c r="G145" s="64">
        <v>160580</v>
      </c>
      <c r="H145" s="65">
        <v>45452</v>
      </c>
      <c r="I145" s="64" t="s">
        <v>15</v>
      </c>
      <c r="J145" s="64" t="s">
        <v>31</v>
      </c>
      <c r="K145" s="64" t="s">
        <v>24</v>
      </c>
      <c r="L145" s="64">
        <v>2</v>
      </c>
      <c r="M145" s="66">
        <v>0.21317499065886161</v>
      </c>
      <c r="N145" s="64">
        <v>13942.36</v>
      </c>
      <c r="O145" s="64" t="s">
        <v>22</v>
      </c>
    </row>
    <row r="146" spans="1:15" x14ac:dyDescent="0.3">
      <c r="A146" s="64">
        <v>145</v>
      </c>
      <c r="B146" s="64">
        <v>4619</v>
      </c>
      <c r="C146" s="64" t="s">
        <v>32</v>
      </c>
      <c r="D146" s="64" t="s">
        <v>25</v>
      </c>
      <c r="E146" s="64">
        <v>26858</v>
      </c>
      <c r="F146" s="64">
        <v>4</v>
      </c>
      <c r="G146" s="64">
        <v>107432</v>
      </c>
      <c r="H146" s="65">
        <v>45600</v>
      </c>
      <c r="I146" s="64" t="s">
        <v>33</v>
      </c>
      <c r="J146" s="64" t="s">
        <v>27</v>
      </c>
      <c r="K146" s="64" t="s">
        <v>28</v>
      </c>
      <c r="L146" s="64">
        <v>1</v>
      </c>
      <c r="M146" s="66">
        <v>0.24521529897981981</v>
      </c>
      <c r="N146" s="64">
        <v>5885.63</v>
      </c>
      <c r="O146" s="64" t="s">
        <v>18</v>
      </c>
    </row>
    <row r="147" spans="1:15" x14ac:dyDescent="0.3">
      <c r="A147" s="64">
        <v>146</v>
      </c>
      <c r="B147" s="64">
        <v>4736</v>
      </c>
      <c r="C147" s="64" t="s">
        <v>13</v>
      </c>
      <c r="D147" s="64" t="s">
        <v>14</v>
      </c>
      <c r="E147" s="64">
        <v>28389</v>
      </c>
      <c r="F147" s="64">
        <v>2</v>
      </c>
      <c r="G147" s="64">
        <v>56778</v>
      </c>
      <c r="H147" s="65">
        <v>45393</v>
      </c>
      <c r="I147" s="64" t="s">
        <v>15</v>
      </c>
      <c r="J147" s="64" t="s">
        <v>27</v>
      </c>
      <c r="K147" s="64" t="s">
        <v>28</v>
      </c>
      <c r="L147" s="64">
        <v>1.8</v>
      </c>
      <c r="M147" s="66">
        <v>0.28359540667159816</v>
      </c>
      <c r="N147" s="64">
        <v>931.42</v>
      </c>
      <c r="O147" s="64" t="s">
        <v>22</v>
      </c>
    </row>
    <row r="148" spans="1:15" x14ac:dyDescent="0.3">
      <c r="A148" s="64">
        <v>147</v>
      </c>
      <c r="B148" s="64">
        <v>2932</v>
      </c>
      <c r="C148" s="64" t="s">
        <v>23</v>
      </c>
      <c r="D148" s="64" t="s">
        <v>20</v>
      </c>
      <c r="E148" s="64">
        <v>43060</v>
      </c>
      <c r="F148" s="64">
        <v>1</v>
      </c>
      <c r="G148" s="64">
        <v>43060</v>
      </c>
      <c r="H148" s="65">
        <v>45494</v>
      </c>
      <c r="I148" s="64" t="s">
        <v>33</v>
      </c>
      <c r="J148" s="64" t="s">
        <v>31</v>
      </c>
      <c r="K148" s="64" t="s">
        <v>28</v>
      </c>
      <c r="L148" s="64">
        <v>1.9</v>
      </c>
      <c r="M148" s="66">
        <v>0.27310705991639572</v>
      </c>
      <c r="N148" s="64">
        <v>1158.01</v>
      </c>
      <c r="O148" s="64" t="s">
        <v>18</v>
      </c>
    </row>
    <row r="149" spans="1:15" x14ac:dyDescent="0.3">
      <c r="A149" s="64">
        <v>148</v>
      </c>
      <c r="B149" s="64">
        <v>5858</v>
      </c>
      <c r="C149" s="64" t="s">
        <v>34</v>
      </c>
      <c r="D149" s="64" t="s">
        <v>20</v>
      </c>
      <c r="E149" s="64">
        <v>18508</v>
      </c>
      <c r="F149" s="64">
        <v>1</v>
      </c>
      <c r="G149" s="64">
        <v>18508</v>
      </c>
      <c r="H149" s="65">
        <v>45551</v>
      </c>
      <c r="I149" s="64" t="s">
        <v>30</v>
      </c>
      <c r="J149" s="64" t="s">
        <v>35</v>
      </c>
      <c r="K149" s="64" t="s">
        <v>28</v>
      </c>
      <c r="L149" s="64">
        <v>4.8</v>
      </c>
      <c r="M149" s="66">
        <v>9.3842122325480865E-2</v>
      </c>
      <c r="N149" s="64">
        <v>3815.57</v>
      </c>
      <c r="O149" s="64" t="s">
        <v>18</v>
      </c>
    </row>
    <row r="150" spans="1:15" x14ac:dyDescent="0.3">
      <c r="A150" s="64">
        <v>149</v>
      </c>
      <c r="B150" s="64">
        <v>4599</v>
      </c>
      <c r="C150" s="64" t="s">
        <v>19</v>
      </c>
      <c r="D150" s="64" t="s">
        <v>14</v>
      </c>
      <c r="E150" s="64">
        <v>47429</v>
      </c>
      <c r="F150" s="64">
        <v>1</v>
      </c>
      <c r="G150" s="64">
        <v>47429</v>
      </c>
      <c r="H150" s="65">
        <v>45615</v>
      </c>
      <c r="I150" s="64" t="s">
        <v>33</v>
      </c>
      <c r="J150" s="64" t="s">
        <v>31</v>
      </c>
      <c r="K150" s="64" t="s">
        <v>28</v>
      </c>
      <c r="L150" s="64">
        <v>4.8</v>
      </c>
      <c r="M150" s="66">
        <v>0.22663475932446392</v>
      </c>
      <c r="N150" s="64">
        <v>3479.64</v>
      </c>
      <c r="O150" s="64" t="s">
        <v>18</v>
      </c>
    </row>
    <row r="151" spans="1:15" x14ac:dyDescent="0.3">
      <c r="A151" s="64">
        <v>150</v>
      </c>
      <c r="B151" s="64">
        <v>3310</v>
      </c>
      <c r="C151" s="64" t="s">
        <v>34</v>
      </c>
      <c r="D151" s="64" t="s">
        <v>25</v>
      </c>
      <c r="E151" s="64">
        <v>39569</v>
      </c>
      <c r="F151" s="64">
        <v>1</v>
      </c>
      <c r="G151" s="64">
        <v>39569</v>
      </c>
      <c r="H151" s="65">
        <v>45444</v>
      </c>
      <c r="I151" s="64" t="s">
        <v>26</v>
      </c>
      <c r="J151" s="64" t="s">
        <v>16</v>
      </c>
      <c r="K151" s="64" t="s">
        <v>17</v>
      </c>
      <c r="L151" s="64">
        <v>3.7</v>
      </c>
      <c r="M151" s="66">
        <v>8.9114205564962468E-2</v>
      </c>
      <c r="N151" s="64">
        <v>8344.5400000000009</v>
      </c>
      <c r="O151" s="64" t="s">
        <v>18</v>
      </c>
    </row>
    <row r="152" spans="1:15" x14ac:dyDescent="0.3">
      <c r="A152" s="64">
        <v>151</v>
      </c>
      <c r="B152" s="64">
        <v>9276</v>
      </c>
      <c r="C152" s="64" t="s">
        <v>29</v>
      </c>
      <c r="D152" s="64" t="s">
        <v>25</v>
      </c>
      <c r="E152" s="64">
        <v>6071</v>
      </c>
      <c r="F152" s="64">
        <v>3</v>
      </c>
      <c r="G152" s="64">
        <v>18213</v>
      </c>
      <c r="H152" s="65">
        <v>45436</v>
      </c>
      <c r="I152" s="64" t="s">
        <v>26</v>
      </c>
      <c r="J152" s="64" t="s">
        <v>21</v>
      </c>
      <c r="K152" s="64" t="s">
        <v>17</v>
      </c>
      <c r="L152" s="64">
        <v>1.4</v>
      </c>
      <c r="M152" s="66">
        <v>0.16898369296656235</v>
      </c>
      <c r="N152" s="64">
        <v>2386.1999999999998</v>
      </c>
      <c r="O152" s="64" t="s">
        <v>18</v>
      </c>
    </row>
    <row r="153" spans="1:15" x14ac:dyDescent="0.3">
      <c r="A153" s="64">
        <v>152</v>
      </c>
      <c r="B153" s="64">
        <v>7560</v>
      </c>
      <c r="C153" s="64" t="s">
        <v>34</v>
      </c>
      <c r="D153" s="64" t="s">
        <v>25</v>
      </c>
      <c r="E153" s="64">
        <v>46804</v>
      </c>
      <c r="F153" s="64">
        <v>2</v>
      </c>
      <c r="G153" s="64">
        <v>93608</v>
      </c>
      <c r="H153" s="65">
        <v>45641</v>
      </c>
      <c r="I153" s="64" t="s">
        <v>26</v>
      </c>
      <c r="J153" s="64" t="s">
        <v>35</v>
      </c>
      <c r="K153" s="64" t="s">
        <v>17</v>
      </c>
      <c r="L153" s="64">
        <v>3</v>
      </c>
      <c r="M153" s="66">
        <v>5.1178104435518332E-2</v>
      </c>
      <c r="N153" s="64">
        <v>23291.72</v>
      </c>
      <c r="O153" s="64" t="s">
        <v>22</v>
      </c>
    </row>
    <row r="154" spans="1:15" x14ac:dyDescent="0.3">
      <c r="A154" s="64">
        <v>153</v>
      </c>
      <c r="B154" s="64">
        <v>1605</v>
      </c>
      <c r="C154" s="64" t="s">
        <v>34</v>
      </c>
      <c r="D154" s="64" t="s">
        <v>20</v>
      </c>
      <c r="E154" s="64">
        <v>22549</v>
      </c>
      <c r="F154" s="64">
        <v>3</v>
      </c>
      <c r="G154" s="64">
        <v>67647</v>
      </c>
      <c r="H154" s="65">
        <v>45313</v>
      </c>
      <c r="I154" s="64" t="s">
        <v>33</v>
      </c>
      <c r="J154" s="64" t="s">
        <v>27</v>
      </c>
      <c r="K154" s="64" t="s">
        <v>17</v>
      </c>
      <c r="L154" s="64">
        <v>1.5</v>
      </c>
      <c r="M154" s="66">
        <v>0.24212101054000917</v>
      </c>
      <c r="N154" s="64">
        <v>3915.34</v>
      </c>
      <c r="O154" s="64" t="s">
        <v>18</v>
      </c>
    </row>
    <row r="155" spans="1:15" x14ac:dyDescent="0.3">
      <c r="A155" s="64">
        <v>154</v>
      </c>
      <c r="B155" s="64">
        <v>7518</v>
      </c>
      <c r="C155" s="64" t="s">
        <v>34</v>
      </c>
      <c r="D155" s="64" t="s">
        <v>20</v>
      </c>
      <c r="E155" s="64">
        <v>3967</v>
      </c>
      <c r="F155" s="64">
        <v>3</v>
      </c>
      <c r="G155" s="64">
        <v>11901</v>
      </c>
      <c r="H155" s="65">
        <v>45392</v>
      </c>
      <c r="I155" s="64" t="s">
        <v>30</v>
      </c>
      <c r="J155" s="64" t="s">
        <v>31</v>
      </c>
      <c r="K155" s="64" t="s">
        <v>28</v>
      </c>
      <c r="L155" s="64">
        <v>1.8</v>
      </c>
      <c r="M155" s="66">
        <v>0.12979413494664316</v>
      </c>
      <c r="N155" s="64">
        <v>2025.62</v>
      </c>
      <c r="O155" s="64" t="s">
        <v>18</v>
      </c>
    </row>
    <row r="156" spans="1:15" x14ac:dyDescent="0.3">
      <c r="A156" s="64">
        <v>155</v>
      </c>
      <c r="B156" s="64">
        <v>8055</v>
      </c>
      <c r="C156" s="64" t="s">
        <v>19</v>
      </c>
      <c r="D156" s="64" t="s">
        <v>25</v>
      </c>
      <c r="E156" s="64">
        <v>11955</v>
      </c>
      <c r="F156" s="64">
        <v>3</v>
      </c>
      <c r="G156" s="64">
        <v>35865</v>
      </c>
      <c r="H156" s="65">
        <v>45545</v>
      </c>
      <c r="I156" s="64" t="s">
        <v>30</v>
      </c>
      <c r="J156" s="64" t="s">
        <v>35</v>
      </c>
      <c r="K156" s="64" t="s">
        <v>24</v>
      </c>
      <c r="L156" s="64">
        <v>4.4000000000000004</v>
      </c>
      <c r="M156" s="66">
        <v>0.2898558483200892</v>
      </c>
      <c r="N156" s="64">
        <v>363.82</v>
      </c>
      <c r="O156" s="64" t="s">
        <v>22</v>
      </c>
    </row>
    <row r="157" spans="1:15" x14ac:dyDescent="0.3">
      <c r="A157" s="64">
        <v>156</v>
      </c>
      <c r="B157" s="64">
        <v>4227</v>
      </c>
      <c r="C157" s="64" t="s">
        <v>19</v>
      </c>
      <c r="D157" s="64" t="s">
        <v>20</v>
      </c>
      <c r="E157" s="64">
        <v>2461</v>
      </c>
      <c r="F157" s="64">
        <v>1</v>
      </c>
      <c r="G157" s="64">
        <v>2461</v>
      </c>
      <c r="H157" s="65">
        <v>45307</v>
      </c>
      <c r="I157" s="64" t="s">
        <v>15</v>
      </c>
      <c r="J157" s="64" t="s">
        <v>27</v>
      </c>
      <c r="K157" s="64" t="s">
        <v>28</v>
      </c>
      <c r="L157" s="64">
        <v>1.2</v>
      </c>
      <c r="M157" s="66">
        <v>0.16148720032507111</v>
      </c>
      <c r="N157" s="64">
        <v>340.88</v>
      </c>
      <c r="O157" s="64" t="s">
        <v>18</v>
      </c>
    </row>
    <row r="158" spans="1:15" x14ac:dyDescent="0.3">
      <c r="A158" s="64">
        <v>157</v>
      </c>
      <c r="B158" s="64">
        <v>4146</v>
      </c>
      <c r="C158" s="64" t="s">
        <v>13</v>
      </c>
      <c r="D158" s="64" t="s">
        <v>20</v>
      </c>
      <c r="E158" s="64">
        <v>4017</v>
      </c>
      <c r="F158" s="64">
        <v>4</v>
      </c>
      <c r="G158" s="64">
        <v>16068</v>
      </c>
      <c r="H158" s="65">
        <v>45618</v>
      </c>
      <c r="I158" s="64" t="s">
        <v>26</v>
      </c>
      <c r="J158" s="64" t="s">
        <v>27</v>
      </c>
      <c r="K158" s="64" t="s">
        <v>24</v>
      </c>
      <c r="L158" s="64">
        <v>3.2</v>
      </c>
      <c r="M158" s="66">
        <v>0.29471807318894694</v>
      </c>
      <c r="N158" s="64">
        <v>84.87</v>
      </c>
      <c r="O158" s="64" t="s">
        <v>18</v>
      </c>
    </row>
    <row r="159" spans="1:15" x14ac:dyDescent="0.3">
      <c r="A159" s="64">
        <v>158</v>
      </c>
      <c r="B159" s="64">
        <v>7732</v>
      </c>
      <c r="C159" s="64" t="s">
        <v>23</v>
      </c>
      <c r="D159" s="64" t="s">
        <v>25</v>
      </c>
      <c r="E159" s="64">
        <v>17934</v>
      </c>
      <c r="F159" s="64">
        <v>2</v>
      </c>
      <c r="G159" s="64">
        <v>35868</v>
      </c>
      <c r="H159" s="65">
        <v>45394</v>
      </c>
      <c r="I159" s="64" t="s">
        <v>33</v>
      </c>
      <c r="J159" s="64" t="s">
        <v>31</v>
      </c>
      <c r="K159" s="64" t="s">
        <v>17</v>
      </c>
      <c r="L159" s="64">
        <v>3.2</v>
      </c>
      <c r="M159" s="66">
        <v>0.23350172856027657</v>
      </c>
      <c r="N159" s="64">
        <v>2385.16</v>
      </c>
      <c r="O159" s="64" t="s">
        <v>18</v>
      </c>
    </row>
    <row r="160" spans="1:15" x14ac:dyDescent="0.3">
      <c r="A160" s="64">
        <v>159</v>
      </c>
      <c r="B160" s="64">
        <v>4040</v>
      </c>
      <c r="C160" s="64" t="s">
        <v>32</v>
      </c>
      <c r="D160" s="64" t="s">
        <v>14</v>
      </c>
      <c r="E160" s="64">
        <v>18427</v>
      </c>
      <c r="F160" s="64">
        <v>4</v>
      </c>
      <c r="G160" s="64">
        <v>73708</v>
      </c>
      <c r="H160" s="65">
        <v>45365</v>
      </c>
      <c r="I160" s="64" t="s">
        <v>15</v>
      </c>
      <c r="J160" s="64" t="s">
        <v>21</v>
      </c>
      <c r="K160" s="64" t="s">
        <v>17</v>
      </c>
      <c r="L160" s="64">
        <v>3.6</v>
      </c>
      <c r="M160" s="66">
        <v>0.12152235849568568</v>
      </c>
      <c r="N160" s="64">
        <v>13155.23</v>
      </c>
      <c r="O160" s="64" t="s">
        <v>18</v>
      </c>
    </row>
    <row r="161" spans="1:15" x14ac:dyDescent="0.3">
      <c r="A161" s="64">
        <v>160</v>
      </c>
      <c r="B161" s="64">
        <v>6060</v>
      </c>
      <c r="C161" s="64" t="s">
        <v>32</v>
      </c>
      <c r="D161" s="64" t="s">
        <v>14</v>
      </c>
      <c r="E161" s="64">
        <v>29872</v>
      </c>
      <c r="F161" s="64">
        <v>2</v>
      </c>
      <c r="G161" s="64">
        <v>59744</v>
      </c>
      <c r="H161" s="65">
        <v>45483</v>
      </c>
      <c r="I161" s="64" t="s">
        <v>33</v>
      </c>
      <c r="J161" s="64" t="s">
        <v>35</v>
      </c>
      <c r="K161" s="64" t="s">
        <v>17</v>
      </c>
      <c r="L161" s="64">
        <v>2.1</v>
      </c>
      <c r="M161" s="66">
        <v>0.24372338644884842</v>
      </c>
      <c r="N161" s="64">
        <v>3362.19</v>
      </c>
      <c r="O161" s="64" t="s">
        <v>18</v>
      </c>
    </row>
    <row r="162" spans="1:15" x14ac:dyDescent="0.3">
      <c r="A162" s="64">
        <v>161</v>
      </c>
      <c r="B162" s="64">
        <v>5107</v>
      </c>
      <c r="C162" s="64" t="s">
        <v>34</v>
      </c>
      <c r="D162" s="64" t="s">
        <v>20</v>
      </c>
      <c r="E162" s="64">
        <v>14870</v>
      </c>
      <c r="F162" s="64">
        <v>3</v>
      </c>
      <c r="G162" s="64">
        <v>44610</v>
      </c>
      <c r="H162" s="65">
        <v>45404</v>
      </c>
      <c r="I162" s="64" t="s">
        <v>33</v>
      </c>
      <c r="J162" s="64" t="s">
        <v>27</v>
      </c>
      <c r="K162" s="64" t="s">
        <v>28</v>
      </c>
      <c r="L162" s="64">
        <v>4.5</v>
      </c>
      <c r="M162" s="66">
        <v>0.14320399013674065</v>
      </c>
      <c r="N162" s="64">
        <v>6994.67</v>
      </c>
      <c r="O162" s="64" t="s">
        <v>18</v>
      </c>
    </row>
    <row r="163" spans="1:15" x14ac:dyDescent="0.3">
      <c r="A163" s="64">
        <v>162</v>
      </c>
      <c r="B163" s="64">
        <v>7167</v>
      </c>
      <c r="C163" s="64" t="s">
        <v>34</v>
      </c>
      <c r="D163" s="64" t="s">
        <v>25</v>
      </c>
      <c r="E163" s="64">
        <v>18050</v>
      </c>
      <c r="F163" s="64">
        <v>5</v>
      </c>
      <c r="G163" s="64">
        <v>90250</v>
      </c>
      <c r="H163" s="65">
        <v>45305</v>
      </c>
      <c r="I163" s="64" t="s">
        <v>30</v>
      </c>
      <c r="J163" s="64" t="s">
        <v>31</v>
      </c>
      <c r="K163" s="64" t="s">
        <v>17</v>
      </c>
      <c r="L163" s="64">
        <v>1.4</v>
      </c>
      <c r="M163" s="66">
        <v>9.0053518005540165E-2</v>
      </c>
      <c r="N163" s="64">
        <v>18947.669999999998</v>
      </c>
      <c r="O163" s="64" t="s">
        <v>18</v>
      </c>
    </row>
    <row r="164" spans="1:15" x14ac:dyDescent="0.3">
      <c r="A164" s="64">
        <v>163</v>
      </c>
      <c r="B164" s="64">
        <v>4793</v>
      </c>
      <c r="C164" s="64" t="s">
        <v>13</v>
      </c>
      <c r="D164" s="64" t="s">
        <v>25</v>
      </c>
      <c r="E164" s="64">
        <v>42695</v>
      </c>
      <c r="F164" s="64">
        <v>4</v>
      </c>
      <c r="G164" s="64">
        <v>170780</v>
      </c>
      <c r="H164" s="65">
        <v>45479</v>
      </c>
      <c r="I164" s="64" t="s">
        <v>15</v>
      </c>
      <c r="J164" s="64" t="s">
        <v>35</v>
      </c>
      <c r="K164" s="64" t="s">
        <v>24</v>
      </c>
      <c r="L164" s="64">
        <v>1.1000000000000001</v>
      </c>
      <c r="M164" s="66">
        <v>0.12304754655111841</v>
      </c>
      <c r="N164" s="64">
        <v>30219.94</v>
      </c>
      <c r="O164" s="64" t="s">
        <v>18</v>
      </c>
    </row>
    <row r="165" spans="1:15" x14ac:dyDescent="0.3">
      <c r="A165" s="64">
        <v>164</v>
      </c>
      <c r="B165" s="64">
        <v>4141</v>
      </c>
      <c r="C165" s="64" t="s">
        <v>19</v>
      </c>
      <c r="D165" s="64" t="s">
        <v>14</v>
      </c>
      <c r="E165" s="64">
        <v>39495</v>
      </c>
      <c r="F165" s="64">
        <v>5</v>
      </c>
      <c r="G165" s="64">
        <v>197475</v>
      </c>
      <c r="H165" s="65">
        <v>45557</v>
      </c>
      <c r="I165" s="64" t="s">
        <v>26</v>
      </c>
      <c r="J165" s="64" t="s">
        <v>27</v>
      </c>
      <c r="K165" s="64" t="s">
        <v>24</v>
      </c>
      <c r="L165" s="64">
        <v>3.5</v>
      </c>
      <c r="M165" s="66">
        <v>5.338498544119509E-2</v>
      </c>
      <c r="N165" s="64">
        <v>48700.3</v>
      </c>
      <c r="O165" s="64" t="s">
        <v>18</v>
      </c>
    </row>
    <row r="166" spans="1:15" x14ac:dyDescent="0.3">
      <c r="A166" s="64">
        <v>165</v>
      </c>
      <c r="B166" s="64">
        <v>3091</v>
      </c>
      <c r="C166" s="64" t="s">
        <v>23</v>
      </c>
      <c r="D166" s="64" t="s">
        <v>14</v>
      </c>
      <c r="E166" s="64">
        <v>23441</v>
      </c>
      <c r="F166" s="64">
        <v>3</v>
      </c>
      <c r="G166" s="64">
        <v>70323</v>
      </c>
      <c r="H166" s="65">
        <v>45336</v>
      </c>
      <c r="I166" s="64" t="s">
        <v>33</v>
      </c>
      <c r="J166" s="64" t="s">
        <v>31</v>
      </c>
      <c r="K166" s="64" t="s">
        <v>24</v>
      </c>
      <c r="L166" s="64">
        <v>4.7</v>
      </c>
      <c r="M166" s="66">
        <v>0.16843593134536353</v>
      </c>
      <c r="N166" s="64">
        <v>9251.98</v>
      </c>
      <c r="O166" s="64" t="s">
        <v>22</v>
      </c>
    </row>
    <row r="167" spans="1:15" x14ac:dyDescent="0.3">
      <c r="A167" s="64">
        <v>166</v>
      </c>
      <c r="B167" s="64">
        <v>7294</v>
      </c>
      <c r="C167" s="64" t="s">
        <v>13</v>
      </c>
      <c r="D167" s="64" t="s">
        <v>14</v>
      </c>
      <c r="E167" s="64">
        <v>22945</v>
      </c>
      <c r="F167" s="64">
        <v>5</v>
      </c>
      <c r="G167" s="64">
        <v>114725</v>
      </c>
      <c r="H167" s="65">
        <v>45356</v>
      </c>
      <c r="I167" s="64" t="s">
        <v>15</v>
      </c>
      <c r="J167" s="64" t="s">
        <v>35</v>
      </c>
      <c r="K167" s="64" t="s">
        <v>28</v>
      </c>
      <c r="L167" s="64">
        <v>4.0999999999999996</v>
      </c>
      <c r="M167" s="66">
        <v>0.11275345391152757</v>
      </c>
      <c r="N167" s="64">
        <v>21481.86</v>
      </c>
      <c r="O167" s="64" t="s">
        <v>22</v>
      </c>
    </row>
    <row r="168" spans="1:15" x14ac:dyDescent="0.3">
      <c r="A168" s="64">
        <v>167</v>
      </c>
      <c r="B168" s="64">
        <v>6379</v>
      </c>
      <c r="C168" s="64" t="s">
        <v>29</v>
      </c>
      <c r="D168" s="64" t="s">
        <v>20</v>
      </c>
      <c r="E168" s="64">
        <v>19450</v>
      </c>
      <c r="F168" s="64">
        <v>4</v>
      </c>
      <c r="G168" s="64">
        <v>77800</v>
      </c>
      <c r="H168" s="65">
        <v>45362</v>
      </c>
      <c r="I168" s="64" t="s">
        <v>33</v>
      </c>
      <c r="J168" s="64" t="s">
        <v>21</v>
      </c>
      <c r="K168" s="64" t="s">
        <v>17</v>
      </c>
      <c r="L168" s="64">
        <v>1.5</v>
      </c>
      <c r="M168" s="66">
        <v>0.28321992287917735</v>
      </c>
      <c r="N168" s="64">
        <v>1305.49</v>
      </c>
      <c r="O168" s="64" t="s">
        <v>22</v>
      </c>
    </row>
    <row r="169" spans="1:15" x14ac:dyDescent="0.3">
      <c r="A169" s="64">
        <v>168</v>
      </c>
      <c r="B169" s="64">
        <v>9104</v>
      </c>
      <c r="C169" s="64" t="s">
        <v>23</v>
      </c>
      <c r="D169" s="64" t="s">
        <v>20</v>
      </c>
      <c r="E169" s="64">
        <v>29666</v>
      </c>
      <c r="F169" s="64">
        <v>3</v>
      </c>
      <c r="G169" s="64">
        <v>88998</v>
      </c>
      <c r="H169" s="65">
        <v>45471</v>
      </c>
      <c r="I169" s="64" t="s">
        <v>15</v>
      </c>
      <c r="J169" s="64" t="s">
        <v>21</v>
      </c>
      <c r="K169" s="64" t="s">
        <v>28</v>
      </c>
      <c r="L169" s="64">
        <v>3.1</v>
      </c>
      <c r="M169" s="66">
        <v>0.13367266680150117</v>
      </c>
      <c r="N169" s="64">
        <v>14802.8</v>
      </c>
      <c r="O169" s="64" t="s">
        <v>18</v>
      </c>
    </row>
    <row r="170" spans="1:15" x14ac:dyDescent="0.3">
      <c r="A170" s="64">
        <v>169</v>
      </c>
      <c r="B170" s="64">
        <v>9548</v>
      </c>
      <c r="C170" s="64" t="s">
        <v>23</v>
      </c>
      <c r="D170" s="64" t="s">
        <v>25</v>
      </c>
      <c r="E170" s="64">
        <v>36461</v>
      </c>
      <c r="F170" s="64">
        <v>1</v>
      </c>
      <c r="G170" s="64">
        <v>36461</v>
      </c>
      <c r="H170" s="65">
        <v>45400</v>
      </c>
      <c r="I170" s="64" t="s">
        <v>33</v>
      </c>
      <c r="J170" s="64" t="s">
        <v>35</v>
      </c>
      <c r="K170" s="64" t="s">
        <v>24</v>
      </c>
      <c r="L170" s="64">
        <v>1.3</v>
      </c>
      <c r="M170" s="66">
        <v>0.22929513726995968</v>
      </c>
      <c r="N170" s="64">
        <v>2577.9699999999998</v>
      </c>
      <c r="O170" s="64" t="s">
        <v>18</v>
      </c>
    </row>
    <row r="171" spans="1:15" x14ac:dyDescent="0.3">
      <c r="A171" s="64">
        <v>170</v>
      </c>
      <c r="B171" s="64">
        <v>9565</v>
      </c>
      <c r="C171" s="64" t="s">
        <v>34</v>
      </c>
      <c r="D171" s="64" t="s">
        <v>25</v>
      </c>
      <c r="E171" s="64">
        <v>20064</v>
      </c>
      <c r="F171" s="64">
        <v>2</v>
      </c>
      <c r="G171" s="64">
        <v>40128</v>
      </c>
      <c r="H171" s="65">
        <v>45552</v>
      </c>
      <c r="I171" s="64" t="s">
        <v>15</v>
      </c>
      <c r="J171" s="64" t="s">
        <v>16</v>
      </c>
      <c r="K171" s="64" t="s">
        <v>17</v>
      </c>
      <c r="L171" s="64">
        <v>2</v>
      </c>
      <c r="M171" s="66">
        <v>5.2458383173843708E-2</v>
      </c>
      <c r="N171" s="64">
        <v>9933.35</v>
      </c>
      <c r="O171" s="64" t="s">
        <v>18</v>
      </c>
    </row>
    <row r="172" spans="1:15" x14ac:dyDescent="0.3">
      <c r="A172" s="64">
        <v>171</v>
      </c>
      <c r="B172" s="64">
        <v>5298</v>
      </c>
      <c r="C172" s="64" t="s">
        <v>13</v>
      </c>
      <c r="D172" s="64" t="s">
        <v>14</v>
      </c>
      <c r="E172" s="64">
        <v>42563</v>
      </c>
      <c r="F172" s="64">
        <v>3</v>
      </c>
      <c r="G172" s="64">
        <v>127689</v>
      </c>
      <c r="H172" s="65">
        <v>45566</v>
      </c>
      <c r="I172" s="64" t="s">
        <v>26</v>
      </c>
      <c r="J172" s="64" t="s">
        <v>27</v>
      </c>
      <c r="K172" s="64" t="s">
        <v>17</v>
      </c>
      <c r="L172" s="64">
        <v>4.3</v>
      </c>
      <c r="M172" s="66">
        <v>0.20877914307418807</v>
      </c>
      <c r="N172" s="64">
        <v>11647.9</v>
      </c>
      <c r="O172" s="64" t="s">
        <v>18</v>
      </c>
    </row>
    <row r="173" spans="1:15" x14ac:dyDescent="0.3">
      <c r="A173" s="64">
        <v>172</v>
      </c>
      <c r="B173" s="64">
        <v>7697</v>
      </c>
      <c r="C173" s="64" t="s">
        <v>32</v>
      </c>
      <c r="D173" s="64" t="s">
        <v>14</v>
      </c>
      <c r="E173" s="64">
        <v>44501</v>
      </c>
      <c r="F173" s="64">
        <v>4</v>
      </c>
      <c r="G173" s="64">
        <v>178004</v>
      </c>
      <c r="H173" s="65">
        <v>45327</v>
      </c>
      <c r="I173" s="64" t="s">
        <v>15</v>
      </c>
      <c r="J173" s="64" t="s">
        <v>27</v>
      </c>
      <c r="K173" s="64" t="s">
        <v>17</v>
      </c>
      <c r="L173" s="64">
        <v>1.9</v>
      </c>
      <c r="M173" s="66">
        <v>7.7785892451855021E-2</v>
      </c>
      <c r="N173" s="64">
        <v>39555</v>
      </c>
      <c r="O173" s="64" t="s">
        <v>22</v>
      </c>
    </row>
    <row r="174" spans="1:15" x14ac:dyDescent="0.3">
      <c r="A174" s="64">
        <v>173</v>
      </c>
      <c r="B174" s="64">
        <v>3804</v>
      </c>
      <c r="C174" s="64" t="s">
        <v>32</v>
      </c>
      <c r="D174" s="64" t="s">
        <v>20</v>
      </c>
      <c r="E174" s="64">
        <v>25250</v>
      </c>
      <c r="F174" s="64">
        <v>3</v>
      </c>
      <c r="G174" s="64">
        <v>75750</v>
      </c>
      <c r="H174" s="65">
        <v>45469</v>
      </c>
      <c r="I174" s="64" t="s">
        <v>33</v>
      </c>
      <c r="J174" s="64" t="s">
        <v>27</v>
      </c>
      <c r="K174" s="64" t="s">
        <v>24</v>
      </c>
      <c r="L174" s="64">
        <v>1.4</v>
      </c>
      <c r="M174" s="66">
        <v>0.11252066006600661</v>
      </c>
      <c r="N174" s="64">
        <v>14201.56</v>
      </c>
      <c r="O174" s="64" t="s">
        <v>22</v>
      </c>
    </row>
    <row r="175" spans="1:15" x14ac:dyDescent="0.3">
      <c r="A175" s="64">
        <v>174</v>
      </c>
      <c r="B175" s="64">
        <v>5742</v>
      </c>
      <c r="C175" s="64" t="s">
        <v>19</v>
      </c>
      <c r="D175" s="64" t="s">
        <v>14</v>
      </c>
      <c r="E175" s="64">
        <v>40080</v>
      </c>
      <c r="F175" s="64">
        <v>2</v>
      </c>
      <c r="G175" s="64">
        <v>80160</v>
      </c>
      <c r="H175" s="65">
        <v>45599</v>
      </c>
      <c r="I175" s="64" t="s">
        <v>33</v>
      </c>
      <c r="J175" s="64" t="s">
        <v>35</v>
      </c>
      <c r="K175" s="64" t="s">
        <v>17</v>
      </c>
      <c r="L175" s="64">
        <v>4.2</v>
      </c>
      <c r="M175" s="66">
        <v>0.19772891716566868</v>
      </c>
      <c r="N175" s="64">
        <v>8198.0499999999993</v>
      </c>
      <c r="O175" s="64" t="s">
        <v>18</v>
      </c>
    </row>
    <row r="176" spans="1:15" x14ac:dyDescent="0.3">
      <c r="A176" s="64">
        <v>175</v>
      </c>
      <c r="B176" s="64">
        <v>2125</v>
      </c>
      <c r="C176" s="64" t="s">
        <v>34</v>
      </c>
      <c r="D176" s="64" t="s">
        <v>25</v>
      </c>
      <c r="E176" s="64">
        <v>24826</v>
      </c>
      <c r="F176" s="64">
        <v>5</v>
      </c>
      <c r="G176" s="64">
        <v>124130</v>
      </c>
      <c r="H176" s="65">
        <v>45504</v>
      </c>
      <c r="I176" s="64" t="s">
        <v>30</v>
      </c>
      <c r="J176" s="64" t="s">
        <v>31</v>
      </c>
      <c r="K176" s="64" t="s">
        <v>28</v>
      </c>
      <c r="L176" s="64">
        <v>4.8</v>
      </c>
      <c r="M176" s="66">
        <v>0.17880029001852896</v>
      </c>
      <c r="N176" s="64">
        <v>15044.52</v>
      </c>
      <c r="O176" s="64" t="s">
        <v>18</v>
      </c>
    </row>
    <row r="177" spans="1:15" x14ac:dyDescent="0.3">
      <c r="A177" s="64">
        <v>176</v>
      </c>
      <c r="B177" s="64">
        <v>3090</v>
      </c>
      <c r="C177" s="64" t="s">
        <v>29</v>
      </c>
      <c r="D177" s="64" t="s">
        <v>25</v>
      </c>
      <c r="E177" s="64">
        <v>39508</v>
      </c>
      <c r="F177" s="64">
        <v>4</v>
      </c>
      <c r="G177" s="64">
        <v>158032</v>
      </c>
      <c r="H177" s="65">
        <v>45370</v>
      </c>
      <c r="I177" s="64" t="s">
        <v>33</v>
      </c>
      <c r="J177" s="64" t="s">
        <v>35</v>
      </c>
      <c r="K177" s="64" t="s">
        <v>24</v>
      </c>
      <c r="L177" s="64">
        <v>2.5</v>
      </c>
      <c r="M177" s="66">
        <v>0.15712121595626202</v>
      </c>
      <c r="N177" s="64">
        <v>22579.42</v>
      </c>
      <c r="O177" s="64" t="s">
        <v>18</v>
      </c>
    </row>
    <row r="178" spans="1:15" x14ac:dyDescent="0.3">
      <c r="A178" s="64">
        <v>177</v>
      </c>
      <c r="B178" s="64">
        <v>8729</v>
      </c>
      <c r="C178" s="64" t="s">
        <v>19</v>
      </c>
      <c r="D178" s="64" t="s">
        <v>20</v>
      </c>
      <c r="E178" s="64">
        <v>46151</v>
      </c>
      <c r="F178" s="64">
        <v>2</v>
      </c>
      <c r="G178" s="64">
        <v>92302</v>
      </c>
      <c r="H178" s="65">
        <v>45296</v>
      </c>
      <c r="I178" s="64" t="s">
        <v>33</v>
      </c>
      <c r="J178" s="64" t="s">
        <v>35</v>
      </c>
      <c r="K178" s="64" t="s">
        <v>24</v>
      </c>
      <c r="L178" s="64">
        <v>2.2999999999999998</v>
      </c>
      <c r="M178" s="66">
        <v>8.9516478516175155E-2</v>
      </c>
      <c r="N178" s="64">
        <v>19428.05</v>
      </c>
      <c r="O178" s="64" t="s">
        <v>22</v>
      </c>
    </row>
    <row r="179" spans="1:15" x14ac:dyDescent="0.3">
      <c r="A179" s="64">
        <v>178</v>
      </c>
      <c r="B179" s="64">
        <v>3517</v>
      </c>
      <c r="C179" s="64" t="s">
        <v>29</v>
      </c>
      <c r="D179" s="64" t="s">
        <v>25</v>
      </c>
      <c r="E179" s="64">
        <v>40282</v>
      </c>
      <c r="F179" s="64">
        <v>5</v>
      </c>
      <c r="G179" s="64">
        <v>201410</v>
      </c>
      <c r="H179" s="65">
        <v>45533</v>
      </c>
      <c r="I179" s="64" t="s">
        <v>26</v>
      </c>
      <c r="J179" s="64" t="s">
        <v>16</v>
      </c>
      <c r="K179" s="64" t="s">
        <v>17</v>
      </c>
      <c r="L179" s="64">
        <v>2.9</v>
      </c>
      <c r="M179" s="66">
        <v>0.25922411995432204</v>
      </c>
      <c r="N179" s="64">
        <v>8212.67</v>
      </c>
      <c r="O179" s="64" t="s">
        <v>22</v>
      </c>
    </row>
    <row r="180" spans="1:15" x14ac:dyDescent="0.3">
      <c r="A180" s="64">
        <v>179</v>
      </c>
      <c r="B180" s="64">
        <v>6188</v>
      </c>
      <c r="C180" s="64" t="s">
        <v>32</v>
      </c>
      <c r="D180" s="64" t="s">
        <v>25</v>
      </c>
      <c r="E180" s="64">
        <v>21985</v>
      </c>
      <c r="F180" s="64">
        <v>3</v>
      </c>
      <c r="G180" s="64">
        <v>65955</v>
      </c>
      <c r="H180" s="65">
        <v>45381</v>
      </c>
      <c r="I180" s="64" t="s">
        <v>15</v>
      </c>
      <c r="J180" s="64" t="s">
        <v>35</v>
      </c>
      <c r="K180" s="64" t="s">
        <v>24</v>
      </c>
      <c r="L180" s="64">
        <v>4</v>
      </c>
      <c r="M180" s="66">
        <v>9.1659768023652485E-2</v>
      </c>
      <c r="N180" s="64">
        <v>13741.08</v>
      </c>
      <c r="O180" s="64" t="s">
        <v>22</v>
      </c>
    </row>
    <row r="181" spans="1:15" x14ac:dyDescent="0.3">
      <c r="A181" s="64">
        <v>180</v>
      </c>
      <c r="B181" s="64">
        <v>3942</v>
      </c>
      <c r="C181" s="64" t="s">
        <v>29</v>
      </c>
      <c r="D181" s="64" t="s">
        <v>25</v>
      </c>
      <c r="E181" s="64">
        <v>13596</v>
      </c>
      <c r="F181" s="64">
        <v>4</v>
      </c>
      <c r="G181" s="64">
        <v>54384</v>
      </c>
      <c r="H181" s="65">
        <v>45341</v>
      </c>
      <c r="I181" s="64" t="s">
        <v>30</v>
      </c>
      <c r="J181" s="64" t="s">
        <v>31</v>
      </c>
      <c r="K181" s="64" t="s">
        <v>24</v>
      </c>
      <c r="L181" s="64">
        <v>2.9</v>
      </c>
      <c r="M181" s="66">
        <v>0.17348061929979405</v>
      </c>
      <c r="N181" s="64">
        <v>6880.63</v>
      </c>
      <c r="O181" s="64" t="s">
        <v>22</v>
      </c>
    </row>
    <row r="182" spans="1:15" x14ac:dyDescent="0.3">
      <c r="A182" s="64">
        <v>181</v>
      </c>
      <c r="B182" s="64">
        <v>8070</v>
      </c>
      <c r="C182" s="64" t="s">
        <v>29</v>
      </c>
      <c r="D182" s="64" t="s">
        <v>25</v>
      </c>
      <c r="E182" s="64">
        <v>902</v>
      </c>
      <c r="F182" s="64">
        <v>3</v>
      </c>
      <c r="G182" s="64">
        <v>2706</v>
      </c>
      <c r="H182" s="65">
        <v>45593</v>
      </c>
      <c r="I182" s="64" t="s">
        <v>30</v>
      </c>
      <c r="J182" s="64" t="s">
        <v>16</v>
      </c>
      <c r="K182" s="64" t="s">
        <v>24</v>
      </c>
      <c r="L182" s="64">
        <v>4.2</v>
      </c>
      <c r="M182" s="66">
        <v>0.14255728011825572</v>
      </c>
      <c r="N182" s="64">
        <v>426.04</v>
      </c>
      <c r="O182" s="64" t="s">
        <v>22</v>
      </c>
    </row>
    <row r="183" spans="1:15" x14ac:dyDescent="0.3">
      <c r="A183" s="64">
        <v>182</v>
      </c>
      <c r="B183" s="64">
        <v>9065</v>
      </c>
      <c r="C183" s="64" t="s">
        <v>32</v>
      </c>
      <c r="D183" s="64" t="s">
        <v>25</v>
      </c>
      <c r="E183" s="64">
        <v>44328</v>
      </c>
      <c r="F183" s="64">
        <v>3</v>
      </c>
      <c r="G183" s="64">
        <v>132984</v>
      </c>
      <c r="H183" s="65">
        <v>45308</v>
      </c>
      <c r="I183" s="64" t="s">
        <v>26</v>
      </c>
      <c r="J183" s="64" t="s">
        <v>35</v>
      </c>
      <c r="K183" s="64" t="s">
        <v>17</v>
      </c>
      <c r="L183" s="64">
        <v>1.1000000000000001</v>
      </c>
      <c r="M183" s="66">
        <v>5.3353110148589303E-2</v>
      </c>
      <c r="N183" s="64">
        <v>32800.089999999997</v>
      </c>
      <c r="O183" s="64" t="s">
        <v>22</v>
      </c>
    </row>
    <row r="184" spans="1:15" x14ac:dyDescent="0.3">
      <c r="A184" s="64">
        <v>183</v>
      </c>
      <c r="B184" s="64">
        <v>3901</v>
      </c>
      <c r="C184" s="64" t="s">
        <v>19</v>
      </c>
      <c r="D184" s="64" t="s">
        <v>14</v>
      </c>
      <c r="E184" s="64">
        <v>38153</v>
      </c>
      <c r="F184" s="64">
        <v>3</v>
      </c>
      <c r="G184" s="64">
        <v>114459</v>
      </c>
      <c r="H184" s="65">
        <v>45341</v>
      </c>
      <c r="I184" s="64" t="s">
        <v>26</v>
      </c>
      <c r="J184" s="64" t="s">
        <v>27</v>
      </c>
      <c r="K184" s="64" t="s">
        <v>17</v>
      </c>
      <c r="L184" s="64">
        <v>2.8</v>
      </c>
      <c r="M184" s="66">
        <v>0.15376440472134129</v>
      </c>
      <c r="N184" s="64">
        <v>16737.98</v>
      </c>
      <c r="O184" s="64" t="s">
        <v>22</v>
      </c>
    </row>
    <row r="185" spans="1:15" x14ac:dyDescent="0.3">
      <c r="A185" s="64">
        <v>184</v>
      </c>
      <c r="B185" s="64">
        <v>1544</v>
      </c>
      <c r="C185" s="64" t="s">
        <v>29</v>
      </c>
      <c r="D185" s="64" t="s">
        <v>20</v>
      </c>
      <c r="E185" s="64">
        <v>38360</v>
      </c>
      <c r="F185" s="64">
        <v>3</v>
      </c>
      <c r="G185" s="64">
        <v>115080</v>
      </c>
      <c r="H185" s="65">
        <v>45629</v>
      </c>
      <c r="I185" s="64" t="s">
        <v>30</v>
      </c>
      <c r="J185" s="64" t="s">
        <v>16</v>
      </c>
      <c r="K185" s="64" t="s">
        <v>24</v>
      </c>
      <c r="L185" s="64">
        <v>4.7</v>
      </c>
      <c r="M185" s="66">
        <v>0.13909384775808134</v>
      </c>
      <c r="N185" s="64">
        <v>18517.080000000002</v>
      </c>
      <c r="O185" s="64" t="s">
        <v>18</v>
      </c>
    </row>
    <row r="186" spans="1:15" x14ac:dyDescent="0.3">
      <c r="A186" s="64">
        <v>185</v>
      </c>
      <c r="B186" s="64">
        <v>4889</v>
      </c>
      <c r="C186" s="64" t="s">
        <v>23</v>
      </c>
      <c r="D186" s="64" t="s">
        <v>14</v>
      </c>
      <c r="E186" s="64">
        <v>9572</v>
      </c>
      <c r="F186" s="64">
        <v>4</v>
      </c>
      <c r="G186" s="64">
        <v>38288</v>
      </c>
      <c r="H186" s="65">
        <v>45436</v>
      </c>
      <c r="I186" s="64" t="s">
        <v>15</v>
      </c>
      <c r="J186" s="64" t="s">
        <v>31</v>
      </c>
      <c r="K186" s="64" t="s">
        <v>28</v>
      </c>
      <c r="L186" s="64">
        <v>1.9</v>
      </c>
      <c r="M186" s="66">
        <v>0.18041161721688259</v>
      </c>
      <c r="N186" s="64">
        <v>4578.8</v>
      </c>
      <c r="O186" s="64" t="s">
        <v>18</v>
      </c>
    </row>
    <row r="187" spans="1:15" x14ac:dyDescent="0.3">
      <c r="A187" s="64">
        <v>186</v>
      </c>
      <c r="B187" s="64">
        <v>9846</v>
      </c>
      <c r="C187" s="64" t="s">
        <v>32</v>
      </c>
      <c r="D187" s="64" t="s">
        <v>20</v>
      </c>
      <c r="E187" s="64">
        <v>40026</v>
      </c>
      <c r="F187" s="64">
        <v>2</v>
      </c>
      <c r="G187" s="64">
        <v>80052</v>
      </c>
      <c r="H187" s="65">
        <v>45564</v>
      </c>
      <c r="I187" s="64" t="s">
        <v>15</v>
      </c>
      <c r="J187" s="64" t="s">
        <v>31</v>
      </c>
      <c r="K187" s="64" t="s">
        <v>24</v>
      </c>
      <c r="L187" s="64">
        <v>3.4</v>
      </c>
      <c r="M187" s="66">
        <v>9.1488282616299405E-2</v>
      </c>
      <c r="N187" s="64">
        <v>16691.78</v>
      </c>
      <c r="O187" s="64" t="s">
        <v>18</v>
      </c>
    </row>
    <row r="188" spans="1:15" x14ac:dyDescent="0.3">
      <c r="A188" s="64">
        <v>187</v>
      </c>
      <c r="B188" s="64">
        <v>1638</v>
      </c>
      <c r="C188" s="64" t="s">
        <v>23</v>
      </c>
      <c r="D188" s="64" t="s">
        <v>25</v>
      </c>
      <c r="E188" s="64">
        <v>15101</v>
      </c>
      <c r="F188" s="64">
        <v>1</v>
      </c>
      <c r="G188" s="64">
        <v>15101</v>
      </c>
      <c r="H188" s="65">
        <v>45336</v>
      </c>
      <c r="I188" s="64" t="s">
        <v>33</v>
      </c>
      <c r="J188" s="64" t="s">
        <v>35</v>
      </c>
      <c r="K188" s="64" t="s">
        <v>28</v>
      </c>
      <c r="L188" s="64">
        <v>1.6</v>
      </c>
      <c r="M188" s="66">
        <v>0.20716707502814383</v>
      </c>
      <c r="N188" s="64">
        <v>1401.87</v>
      </c>
      <c r="O188" s="64" t="s">
        <v>18</v>
      </c>
    </row>
    <row r="189" spans="1:15" x14ac:dyDescent="0.3">
      <c r="A189" s="64">
        <v>188</v>
      </c>
      <c r="B189" s="64">
        <v>1445</v>
      </c>
      <c r="C189" s="64" t="s">
        <v>23</v>
      </c>
      <c r="D189" s="64" t="s">
        <v>20</v>
      </c>
      <c r="E189" s="64">
        <v>22330</v>
      </c>
      <c r="F189" s="64">
        <v>2</v>
      </c>
      <c r="G189" s="64">
        <v>44660</v>
      </c>
      <c r="H189" s="65">
        <v>45351</v>
      </c>
      <c r="I189" s="64" t="s">
        <v>15</v>
      </c>
      <c r="J189" s="64" t="s">
        <v>31</v>
      </c>
      <c r="K189" s="64" t="s">
        <v>17</v>
      </c>
      <c r="L189" s="64">
        <v>4.9000000000000004</v>
      </c>
      <c r="M189" s="66">
        <v>0.22381101656963726</v>
      </c>
      <c r="N189" s="64">
        <v>3402.6</v>
      </c>
      <c r="O189" s="64" t="s">
        <v>22</v>
      </c>
    </row>
    <row r="190" spans="1:15" x14ac:dyDescent="0.3">
      <c r="A190" s="64">
        <v>189</v>
      </c>
      <c r="B190" s="64">
        <v>9062</v>
      </c>
      <c r="C190" s="64" t="s">
        <v>32</v>
      </c>
      <c r="D190" s="64" t="s">
        <v>20</v>
      </c>
      <c r="E190" s="64">
        <v>45016</v>
      </c>
      <c r="F190" s="64">
        <v>2</v>
      </c>
      <c r="G190" s="64">
        <v>90032</v>
      </c>
      <c r="H190" s="65">
        <v>45423</v>
      </c>
      <c r="I190" s="64" t="s">
        <v>26</v>
      </c>
      <c r="J190" s="64" t="s">
        <v>27</v>
      </c>
      <c r="K190" s="64" t="s">
        <v>24</v>
      </c>
      <c r="L190" s="64">
        <v>2.7</v>
      </c>
      <c r="M190" s="66">
        <v>7.7541540785498492E-2</v>
      </c>
      <c r="N190" s="64">
        <v>20028.38</v>
      </c>
      <c r="O190" s="64" t="s">
        <v>22</v>
      </c>
    </row>
    <row r="191" spans="1:15" x14ac:dyDescent="0.3">
      <c r="A191" s="64">
        <v>190</v>
      </c>
      <c r="B191" s="64">
        <v>6673</v>
      </c>
      <c r="C191" s="64" t="s">
        <v>29</v>
      </c>
      <c r="D191" s="64" t="s">
        <v>25</v>
      </c>
      <c r="E191" s="64">
        <v>11507</v>
      </c>
      <c r="F191" s="64">
        <v>2</v>
      </c>
      <c r="G191" s="64">
        <v>23014</v>
      </c>
      <c r="H191" s="65">
        <v>45388</v>
      </c>
      <c r="I191" s="64" t="s">
        <v>26</v>
      </c>
      <c r="J191" s="64" t="s">
        <v>21</v>
      </c>
      <c r="K191" s="64" t="s">
        <v>24</v>
      </c>
      <c r="L191" s="64">
        <v>3.4</v>
      </c>
      <c r="M191" s="66">
        <v>0.14544147040931607</v>
      </c>
      <c r="N191" s="64">
        <v>3557.01</v>
      </c>
      <c r="O191" s="64" t="s">
        <v>18</v>
      </c>
    </row>
    <row r="192" spans="1:15" x14ac:dyDescent="0.3">
      <c r="A192" s="64">
        <v>191</v>
      </c>
      <c r="B192" s="64">
        <v>7016</v>
      </c>
      <c r="C192" s="64" t="s">
        <v>34</v>
      </c>
      <c r="D192" s="64" t="s">
        <v>20</v>
      </c>
      <c r="E192" s="64">
        <v>9178</v>
      </c>
      <c r="F192" s="64">
        <v>4</v>
      </c>
      <c r="G192" s="64">
        <v>36712</v>
      </c>
      <c r="H192" s="65">
        <v>45425</v>
      </c>
      <c r="I192" s="64" t="s">
        <v>30</v>
      </c>
      <c r="J192" s="64" t="s">
        <v>16</v>
      </c>
      <c r="K192" s="64" t="s">
        <v>24</v>
      </c>
      <c r="L192" s="64">
        <v>1</v>
      </c>
      <c r="M192" s="66">
        <v>0.13737388319895402</v>
      </c>
      <c r="N192" s="64">
        <v>5970.33</v>
      </c>
      <c r="O192" s="64" t="s">
        <v>18</v>
      </c>
    </row>
    <row r="193" spans="1:15" x14ac:dyDescent="0.3">
      <c r="A193" s="64">
        <v>192</v>
      </c>
      <c r="B193" s="64">
        <v>7189</v>
      </c>
      <c r="C193" s="64" t="s">
        <v>29</v>
      </c>
      <c r="D193" s="64" t="s">
        <v>20</v>
      </c>
      <c r="E193" s="64">
        <v>29135</v>
      </c>
      <c r="F193" s="64">
        <v>3</v>
      </c>
      <c r="G193" s="64">
        <v>87405</v>
      </c>
      <c r="H193" s="65">
        <v>45476</v>
      </c>
      <c r="I193" s="64" t="s">
        <v>15</v>
      </c>
      <c r="J193" s="64" t="s">
        <v>21</v>
      </c>
      <c r="K193" s="64" t="s">
        <v>28</v>
      </c>
      <c r="L193" s="64">
        <v>4.4000000000000004</v>
      </c>
      <c r="M193" s="66">
        <v>0.12638098506950404</v>
      </c>
      <c r="N193" s="64">
        <v>15175.17</v>
      </c>
      <c r="O193" s="64" t="s">
        <v>18</v>
      </c>
    </row>
    <row r="194" spans="1:15" x14ac:dyDescent="0.3">
      <c r="A194" s="64">
        <v>193</v>
      </c>
      <c r="B194" s="64">
        <v>4195</v>
      </c>
      <c r="C194" s="64" t="s">
        <v>23</v>
      </c>
      <c r="D194" s="64" t="s">
        <v>14</v>
      </c>
      <c r="E194" s="64">
        <v>46271</v>
      </c>
      <c r="F194" s="64">
        <v>1</v>
      </c>
      <c r="G194" s="64">
        <v>46271</v>
      </c>
      <c r="H194" s="65">
        <v>45527</v>
      </c>
      <c r="I194" s="64" t="s">
        <v>33</v>
      </c>
      <c r="J194" s="64" t="s">
        <v>35</v>
      </c>
      <c r="K194" s="64" t="s">
        <v>28</v>
      </c>
      <c r="L194" s="64">
        <v>1.1000000000000001</v>
      </c>
      <c r="M194" s="66">
        <v>0.26768213351775411</v>
      </c>
      <c r="N194" s="64">
        <v>1495.38</v>
      </c>
      <c r="O194" s="64" t="s">
        <v>18</v>
      </c>
    </row>
    <row r="195" spans="1:15" x14ac:dyDescent="0.3">
      <c r="A195" s="64">
        <v>194</v>
      </c>
      <c r="B195" s="64">
        <v>3541</v>
      </c>
      <c r="C195" s="64" t="s">
        <v>19</v>
      </c>
      <c r="D195" s="64" t="s">
        <v>14</v>
      </c>
      <c r="E195" s="64">
        <v>41650</v>
      </c>
      <c r="F195" s="64">
        <v>5</v>
      </c>
      <c r="G195" s="64">
        <v>208250</v>
      </c>
      <c r="H195" s="65">
        <v>45542</v>
      </c>
      <c r="I195" s="64" t="s">
        <v>33</v>
      </c>
      <c r="J195" s="64" t="s">
        <v>16</v>
      </c>
      <c r="K195" s="64" t="s">
        <v>28</v>
      </c>
      <c r="L195" s="64">
        <v>3.2</v>
      </c>
      <c r="M195" s="66">
        <v>0.14586482593037214</v>
      </c>
      <c r="N195" s="64">
        <v>32098.65</v>
      </c>
      <c r="O195" s="64" t="s">
        <v>18</v>
      </c>
    </row>
    <row r="196" spans="1:15" x14ac:dyDescent="0.3">
      <c r="A196" s="64">
        <v>195</v>
      </c>
      <c r="B196" s="64">
        <v>2533</v>
      </c>
      <c r="C196" s="64" t="s">
        <v>29</v>
      </c>
      <c r="D196" s="64" t="s">
        <v>25</v>
      </c>
      <c r="E196" s="64">
        <v>44137</v>
      </c>
      <c r="F196" s="64">
        <v>4</v>
      </c>
      <c r="G196" s="64">
        <v>176548</v>
      </c>
      <c r="H196" s="65">
        <v>45348</v>
      </c>
      <c r="I196" s="64" t="s">
        <v>33</v>
      </c>
      <c r="J196" s="64" t="s">
        <v>27</v>
      </c>
      <c r="K196" s="64" t="s">
        <v>28</v>
      </c>
      <c r="L196" s="64">
        <v>4.5999999999999996</v>
      </c>
      <c r="M196" s="66">
        <v>5.5644244058273097E-2</v>
      </c>
      <c r="N196" s="64">
        <v>43140.52</v>
      </c>
      <c r="O196" s="64" t="s">
        <v>18</v>
      </c>
    </row>
    <row r="197" spans="1:15" x14ac:dyDescent="0.3">
      <c r="A197" s="64">
        <v>196</v>
      </c>
      <c r="B197" s="64">
        <v>7403</v>
      </c>
      <c r="C197" s="64" t="s">
        <v>23</v>
      </c>
      <c r="D197" s="64" t="s">
        <v>20</v>
      </c>
      <c r="E197" s="64">
        <v>33865</v>
      </c>
      <c r="F197" s="64">
        <v>3</v>
      </c>
      <c r="G197" s="64">
        <v>101595</v>
      </c>
      <c r="H197" s="65">
        <v>45446</v>
      </c>
      <c r="I197" s="64" t="s">
        <v>26</v>
      </c>
      <c r="J197" s="64" t="s">
        <v>27</v>
      </c>
      <c r="K197" s="64" t="s">
        <v>28</v>
      </c>
      <c r="L197" s="64">
        <v>3.9</v>
      </c>
      <c r="M197" s="66">
        <v>6.4525124267926573E-2</v>
      </c>
      <c r="N197" s="64">
        <v>23923.07</v>
      </c>
      <c r="O197" s="64" t="s">
        <v>18</v>
      </c>
    </row>
    <row r="198" spans="1:15" x14ac:dyDescent="0.3">
      <c r="A198" s="64">
        <v>197</v>
      </c>
      <c r="B198" s="64">
        <v>3226</v>
      </c>
      <c r="C198" s="64" t="s">
        <v>23</v>
      </c>
      <c r="D198" s="64" t="s">
        <v>14</v>
      </c>
      <c r="E198" s="64">
        <v>16657</v>
      </c>
      <c r="F198" s="64">
        <v>1</v>
      </c>
      <c r="G198" s="64">
        <v>16657</v>
      </c>
      <c r="H198" s="65">
        <v>45649</v>
      </c>
      <c r="I198" s="64" t="s">
        <v>30</v>
      </c>
      <c r="J198" s="64" t="s">
        <v>27</v>
      </c>
      <c r="K198" s="64" t="s">
        <v>17</v>
      </c>
      <c r="L198" s="64">
        <v>1.2</v>
      </c>
      <c r="M198" s="66">
        <v>0.23129915350903524</v>
      </c>
      <c r="N198" s="64">
        <v>1144.3499999999999</v>
      </c>
      <c r="O198" s="64" t="s">
        <v>22</v>
      </c>
    </row>
    <row r="199" spans="1:15" x14ac:dyDescent="0.3">
      <c r="A199" s="64">
        <v>198</v>
      </c>
      <c r="B199" s="64">
        <v>7454</v>
      </c>
      <c r="C199" s="64" t="s">
        <v>34</v>
      </c>
      <c r="D199" s="64" t="s">
        <v>25</v>
      </c>
      <c r="E199" s="64">
        <v>19301</v>
      </c>
      <c r="F199" s="64">
        <v>2</v>
      </c>
      <c r="G199" s="64">
        <v>38602</v>
      </c>
      <c r="H199" s="65">
        <v>45655</v>
      </c>
      <c r="I199" s="64" t="s">
        <v>26</v>
      </c>
      <c r="J199" s="64" t="s">
        <v>35</v>
      </c>
      <c r="K199" s="64" t="s">
        <v>24</v>
      </c>
      <c r="L199" s="64">
        <v>1.6</v>
      </c>
      <c r="M199" s="66">
        <v>0.22371716491373506</v>
      </c>
      <c r="N199" s="64">
        <v>2944.67</v>
      </c>
      <c r="O199" s="64" t="s">
        <v>22</v>
      </c>
    </row>
    <row r="200" spans="1:15" x14ac:dyDescent="0.3">
      <c r="A200" s="64">
        <v>199</v>
      </c>
      <c r="B200" s="64">
        <v>2206</v>
      </c>
      <c r="C200" s="64" t="s">
        <v>34</v>
      </c>
      <c r="D200" s="64" t="s">
        <v>25</v>
      </c>
      <c r="E200" s="64">
        <v>40705</v>
      </c>
      <c r="F200" s="64">
        <v>3</v>
      </c>
      <c r="G200" s="64">
        <v>122115</v>
      </c>
      <c r="H200" s="65">
        <v>45544</v>
      </c>
      <c r="I200" s="64" t="s">
        <v>30</v>
      </c>
      <c r="J200" s="64" t="s">
        <v>16</v>
      </c>
      <c r="K200" s="64" t="s">
        <v>28</v>
      </c>
      <c r="L200" s="64">
        <v>3.3</v>
      </c>
      <c r="M200" s="66">
        <v>5.4082954591982965E-2</v>
      </c>
      <c r="N200" s="64">
        <v>30030.16</v>
      </c>
      <c r="O200" s="64" t="s">
        <v>18</v>
      </c>
    </row>
    <row r="201" spans="1:15" x14ac:dyDescent="0.3">
      <c r="A201" s="64">
        <v>200</v>
      </c>
      <c r="B201" s="64">
        <v>8829</v>
      </c>
      <c r="C201" s="64" t="s">
        <v>34</v>
      </c>
      <c r="D201" s="64" t="s">
        <v>25</v>
      </c>
      <c r="E201" s="64">
        <v>2152</v>
      </c>
      <c r="F201" s="64">
        <v>4</v>
      </c>
      <c r="G201" s="64">
        <v>8608</v>
      </c>
      <c r="H201" s="65">
        <v>45342</v>
      </c>
      <c r="I201" s="64" t="s">
        <v>15</v>
      </c>
      <c r="J201" s="64" t="s">
        <v>31</v>
      </c>
      <c r="K201" s="64" t="s">
        <v>17</v>
      </c>
      <c r="L201" s="64">
        <v>2.9</v>
      </c>
      <c r="M201" s="66">
        <v>0.10431342936802973</v>
      </c>
      <c r="N201" s="64">
        <v>1684.47</v>
      </c>
      <c r="O201" s="64" t="s">
        <v>18</v>
      </c>
    </row>
    <row r="202" spans="1:15" x14ac:dyDescent="0.3">
      <c r="A202" s="64">
        <v>201</v>
      </c>
      <c r="B202" s="64">
        <v>2130</v>
      </c>
      <c r="C202" s="64" t="s">
        <v>29</v>
      </c>
      <c r="D202" s="64" t="s">
        <v>25</v>
      </c>
      <c r="E202" s="64">
        <v>9038</v>
      </c>
      <c r="F202" s="64">
        <v>1</v>
      </c>
      <c r="G202" s="64">
        <v>9038</v>
      </c>
      <c r="H202" s="65">
        <v>45335</v>
      </c>
      <c r="I202" s="64" t="s">
        <v>26</v>
      </c>
      <c r="J202" s="64" t="s">
        <v>16</v>
      </c>
      <c r="K202" s="64" t="s">
        <v>28</v>
      </c>
      <c r="L202" s="64">
        <v>2.6</v>
      </c>
      <c r="M202" s="66">
        <v>0.25337685328612525</v>
      </c>
      <c r="N202" s="64">
        <v>421.38</v>
      </c>
      <c r="O202" s="64" t="s">
        <v>18</v>
      </c>
    </row>
    <row r="203" spans="1:15" x14ac:dyDescent="0.3">
      <c r="A203" s="64">
        <v>202</v>
      </c>
      <c r="B203" s="64">
        <v>9536</v>
      </c>
      <c r="C203" s="64" t="s">
        <v>23</v>
      </c>
      <c r="D203" s="64" t="s">
        <v>14</v>
      </c>
      <c r="E203" s="64">
        <v>30437</v>
      </c>
      <c r="F203" s="64">
        <v>1</v>
      </c>
      <c r="G203" s="64">
        <v>30437</v>
      </c>
      <c r="H203" s="65">
        <v>45607</v>
      </c>
      <c r="I203" s="64" t="s">
        <v>26</v>
      </c>
      <c r="J203" s="64" t="s">
        <v>35</v>
      </c>
      <c r="K203" s="64" t="s">
        <v>24</v>
      </c>
      <c r="L203" s="64">
        <v>2.6</v>
      </c>
      <c r="M203" s="66">
        <v>0.22120215527154449</v>
      </c>
      <c r="N203" s="64">
        <v>2398.37</v>
      </c>
      <c r="O203" s="64" t="s">
        <v>18</v>
      </c>
    </row>
    <row r="204" spans="1:15" x14ac:dyDescent="0.3">
      <c r="A204" s="64">
        <v>203</v>
      </c>
      <c r="B204" s="64">
        <v>6733</v>
      </c>
      <c r="C204" s="64" t="s">
        <v>32</v>
      </c>
      <c r="D204" s="64" t="s">
        <v>14</v>
      </c>
      <c r="E204" s="64">
        <v>13205</v>
      </c>
      <c r="F204" s="64">
        <v>1</v>
      </c>
      <c r="G204" s="64">
        <v>13205</v>
      </c>
      <c r="H204" s="65">
        <v>45508</v>
      </c>
      <c r="I204" s="64" t="s">
        <v>33</v>
      </c>
      <c r="J204" s="64" t="s">
        <v>35</v>
      </c>
      <c r="K204" s="64" t="s">
        <v>28</v>
      </c>
      <c r="L204" s="64">
        <v>3.4</v>
      </c>
      <c r="M204" s="66">
        <v>0.15851874290041648</v>
      </c>
      <c r="N204" s="64">
        <v>1868.26</v>
      </c>
      <c r="O204" s="64" t="s">
        <v>22</v>
      </c>
    </row>
    <row r="205" spans="1:15" x14ac:dyDescent="0.3">
      <c r="A205" s="64">
        <v>204</v>
      </c>
      <c r="B205" s="64">
        <v>2170</v>
      </c>
      <c r="C205" s="64" t="s">
        <v>29</v>
      </c>
      <c r="D205" s="64" t="s">
        <v>20</v>
      </c>
      <c r="E205" s="64">
        <v>43774</v>
      </c>
      <c r="F205" s="64">
        <v>2</v>
      </c>
      <c r="G205" s="64">
        <v>87548</v>
      </c>
      <c r="H205" s="65">
        <v>45358</v>
      </c>
      <c r="I205" s="64" t="s">
        <v>15</v>
      </c>
      <c r="J205" s="64" t="s">
        <v>21</v>
      </c>
      <c r="K205" s="64" t="s">
        <v>24</v>
      </c>
      <c r="L205" s="64">
        <v>2</v>
      </c>
      <c r="M205" s="66">
        <v>8.9682688353817333E-2</v>
      </c>
      <c r="N205" s="64">
        <v>18412.86</v>
      </c>
      <c r="O205" s="64" t="s">
        <v>18</v>
      </c>
    </row>
    <row r="206" spans="1:15" x14ac:dyDescent="0.3">
      <c r="A206" s="64">
        <v>205</v>
      </c>
      <c r="B206" s="64">
        <v>2030</v>
      </c>
      <c r="C206" s="64" t="s">
        <v>13</v>
      </c>
      <c r="D206" s="64" t="s">
        <v>25</v>
      </c>
      <c r="E206" s="64">
        <v>44125</v>
      </c>
      <c r="F206" s="64">
        <v>4</v>
      </c>
      <c r="G206" s="64">
        <v>176500</v>
      </c>
      <c r="H206" s="65">
        <v>45351</v>
      </c>
      <c r="I206" s="64" t="s">
        <v>15</v>
      </c>
      <c r="J206" s="64" t="s">
        <v>31</v>
      </c>
      <c r="K206" s="64" t="s">
        <v>17</v>
      </c>
      <c r="L206" s="64">
        <v>1.5</v>
      </c>
      <c r="M206" s="66">
        <v>9.8454390934844191E-2</v>
      </c>
      <c r="N206" s="64">
        <v>35572.800000000003</v>
      </c>
      <c r="O206" s="64" t="s">
        <v>22</v>
      </c>
    </row>
    <row r="207" spans="1:15" x14ac:dyDescent="0.3">
      <c r="A207" s="64">
        <v>206</v>
      </c>
      <c r="B207" s="64">
        <v>8627</v>
      </c>
      <c r="C207" s="64" t="s">
        <v>34</v>
      </c>
      <c r="D207" s="64" t="s">
        <v>14</v>
      </c>
      <c r="E207" s="64">
        <v>10420</v>
      </c>
      <c r="F207" s="64">
        <v>2</v>
      </c>
      <c r="G207" s="64">
        <v>20840</v>
      </c>
      <c r="H207" s="65">
        <v>45442</v>
      </c>
      <c r="I207" s="64" t="s">
        <v>15</v>
      </c>
      <c r="J207" s="64" t="s">
        <v>16</v>
      </c>
      <c r="K207" s="64" t="s">
        <v>28</v>
      </c>
      <c r="L207" s="64">
        <v>2.5</v>
      </c>
      <c r="M207" s="66">
        <v>0.1226415547024952</v>
      </c>
      <c r="N207" s="64">
        <v>3696.15</v>
      </c>
      <c r="O207" s="64" t="s">
        <v>22</v>
      </c>
    </row>
    <row r="208" spans="1:15" x14ac:dyDescent="0.3">
      <c r="A208" s="64">
        <v>207</v>
      </c>
      <c r="B208" s="64">
        <v>9889</v>
      </c>
      <c r="C208" s="64" t="s">
        <v>34</v>
      </c>
      <c r="D208" s="64" t="s">
        <v>25</v>
      </c>
      <c r="E208" s="64">
        <v>38130</v>
      </c>
      <c r="F208" s="64">
        <v>4</v>
      </c>
      <c r="G208" s="64">
        <v>152520</v>
      </c>
      <c r="H208" s="65">
        <v>45440</v>
      </c>
      <c r="I208" s="64" t="s">
        <v>26</v>
      </c>
      <c r="J208" s="64" t="s">
        <v>16</v>
      </c>
      <c r="K208" s="64" t="s">
        <v>17</v>
      </c>
      <c r="L208" s="64">
        <v>3.3</v>
      </c>
      <c r="M208" s="66">
        <v>0.10676219512195123</v>
      </c>
      <c r="N208" s="64">
        <v>29472.63</v>
      </c>
      <c r="O208" s="64" t="s">
        <v>18</v>
      </c>
    </row>
    <row r="209" spans="1:15" x14ac:dyDescent="0.3">
      <c r="A209" s="64">
        <v>208</v>
      </c>
      <c r="B209" s="64">
        <v>5336</v>
      </c>
      <c r="C209" s="64" t="s">
        <v>29</v>
      </c>
      <c r="D209" s="64" t="s">
        <v>20</v>
      </c>
      <c r="E209" s="64">
        <v>38445</v>
      </c>
      <c r="F209" s="64">
        <v>4</v>
      </c>
      <c r="G209" s="64">
        <v>153780</v>
      </c>
      <c r="H209" s="65">
        <v>45507</v>
      </c>
      <c r="I209" s="64" t="s">
        <v>26</v>
      </c>
      <c r="J209" s="64" t="s">
        <v>35</v>
      </c>
      <c r="K209" s="64" t="s">
        <v>17</v>
      </c>
      <c r="L209" s="64">
        <v>2</v>
      </c>
      <c r="M209" s="66">
        <v>0.19368097281831187</v>
      </c>
      <c r="N209" s="64">
        <v>16349.74</v>
      </c>
      <c r="O209" s="64" t="s">
        <v>18</v>
      </c>
    </row>
    <row r="210" spans="1:15" x14ac:dyDescent="0.3">
      <c r="A210" s="64">
        <v>209</v>
      </c>
      <c r="B210" s="64">
        <v>5074</v>
      </c>
      <c r="C210" s="64" t="s">
        <v>13</v>
      </c>
      <c r="D210" s="64" t="s">
        <v>20</v>
      </c>
      <c r="E210" s="64">
        <v>21086</v>
      </c>
      <c r="F210" s="64">
        <v>3</v>
      </c>
      <c r="G210" s="64">
        <v>63258</v>
      </c>
      <c r="H210" s="65">
        <v>45631</v>
      </c>
      <c r="I210" s="64" t="s">
        <v>15</v>
      </c>
      <c r="J210" s="64" t="s">
        <v>27</v>
      </c>
      <c r="K210" s="64" t="s">
        <v>28</v>
      </c>
      <c r="L210" s="64">
        <v>4</v>
      </c>
      <c r="M210" s="66">
        <v>7.2949824528122917E-2</v>
      </c>
      <c r="N210" s="64">
        <v>14362.74</v>
      </c>
      <c r="O210" s="64" t="s">
        <v>22</v>
      </c>
    </row>
    <row r="211" spans="1:15" x14ac:dyDescent="0.3">
      <c r="A211" s="64">
        <v>210</v>
      </c>
      <c r="B211" s="64">
        <v>5161</v>
      </c>
      <c r="C211" s="64" t="s">
        <v>29</v>
      </c>
      <c r="D211" s="64" t="s">
        <v>20</v>
      </c>
      <c r="E211" s="64">
        <v>11063</v>
      </c>
      <c r="F211" s="64">
        <v>5</v>
      </c>
      <c r="G211" s="64">
        <v>55315</v>
      </c>
      <c r="H211" s="65">
        <v>45391</v>
      </c>
      <c r="I211" s="64" t="s">
        <v>15</v>
      </c>
      <c r="J211" s="64" t="s">
        <v>31</v>
      </c>
      <c r="K211" s="64" t="s">
        <v>28</v>
      </c>
      <c r="L211" s="64">
        <v>4.5999999999999996</v>
      </c>
      <c r="M211" s="66">
        <v>0.133270360661665</v>
      </c>
      <c r="N211" s="64">
        <v>9222.65</v>
      </c>
      <c r="O211" s="64" t="s">
        <v>18</v>
      </c>
    </row>
    <row r="212" spans="1:15" x14ac:dyDescent="0.3">
      <c r="A212" s="64">
        <v>211</v>
      </c>
      <c r="B212" s="64">
        <v>9483</v>
      </c>
      <c r="C212" s="64" t="s">
        <v>32</v>
      </c>
      <c r="D212" s="64" t="s">
        <v>25</v>
      </c>
      <c r="E212" s="64">
        <v>10110</v>
      </c>
      <c r="F212" s="64">
        <v>4</v>
      </c>
      <c r="G212" s="64">
        <v>40440</v>
      </c>
      <c r="H212" s="65">
        <v>45535</v>
      </c>
      <c r="I212" s="64" t="s">
        <v>26</v>
      </c>
      <c r="J212" s="64" t="s">
        <v>27</v>
      </c>
      <c r="K212" s="64" t="s">
        <v>24</v>
      </c>
      <c r="L212" s="64">
        <v>3.5</v>
      </c>
      <c r="M212" s="66">
        <v>5.152101879327399E-2</v>
      </c>
      <c r="N212" s="64">
        <v>10048.49</v>
      </c>
      <c r="O212" s="64" t="s">
        <v>18</v>
      </c>
    </row>
    <row r="213" spans="1:15" x14ac:dyDescent="0.3">
      <c r="A213" s="64">
        <v>212</v>
      </c>
      <c r="B213" s="64">
        <v>3352</v>
      </c>
      <c r="C213" s="64" t="s">
        <v>19</v>
      </c>
      <c r="D213" s="64" t="s">
        <v>25</v>
      </c>
      <c r="E213" s="64">
        <v>45807</v>
      </c>
      <c r="F213" s="64">
        <v>1</v>
      </c>
      <c r="G213" s="64">
        <v>45807</v>
      </c>
      <c r="H213" s="65">
        <v>45300</v>
      </c>
      <c r="I213" s="64" t="s">
        <v>15</v>
      </c>
      <c r="J213" s="64" t="s">
        <v>16</v>
      </c>
      <c r="K213" s="64" t="s">
        <v>17</v>
      </c>
      <c r="L213" s="64">
        <v>1.3</v>
      </c>
      <c r="M213" s="66">
        <v>0.23478398498046149</v>
      </c>
      <c r="N213" s="64">
        <v>2987.35</v>
      </c>
      <c r="O213" s="64" t="s">
        <v>18</v>
      </c>
    </row>
    <row r="214" spans="1:15" x14ac:dyDescent="0.3">
      <c r="A214" s="64">
        <v>213</v>
      </c>
      <c r="B214" s="64">
        <v>8988</v>
      </c>
      <c r="C214" s="64" t="s">
        <v>13</v>
      </c>
      <c r="D214" s="64" t="s">
        <v>20</v>
      </c>
      <c r="E214" s="64">
        <v>36842</v>
      </c>
      <c r="F214" s="64">
        <v>3</v>
      </c>
      <c r="G214" s="64">
        <v>110526</v>
      </c>
      <c r="H214" s="65">
        <v>45446</v>
      </c>
      <c r="I214" s="64" t="s">
        <v>15</v>
      </c>
      <c r="J214" s="64" t="s">
        <v>31</v>
      </c>
      <c r="K214" s="64" t="s">
        <v>17</v>
      </c>
      <c r="L214" s="64">
        <v>2.6</v>
      </c>
      <c r="M214" s="66">
        <v>7.4633751334527612E-2</v>
      </c>
      <c r="N214" s="64">
        <v>24908.83</v>
      </c>
      <c r="O214" s="64" t="s">
        <v>18</v>
      </c>
    </row>
    <row r="215" spans="1:15" x14ac:dyDescent="0.3">
      <c r="A215" s="64">
        <v>214</v>
      </c>
      <c r="B215" s="64">
        <v>8355</v>
      </c>
      <c r="C215" s="64" t="s">
        <v>29</v>
      </c>
      <c r="D215" s="64" t="s">
        <v>20</v>
      </c>
      <c r="E215" s="64">
        <v>47496</v>
      </c>
      <c r="F215" s="64">
        <v>5</v>
      </c>
      <c r="G215" s="64">
        <v>237480</v>
      </c>
      <c r="H215" s="65">
        <v>45606</v>
      </c>
      <c r="I215" s="64" t="s">
        <v>26</v>
      </c>
      <c r="J215" s="64" t="s">
        <v>16</v>
      </c>
      <c r="K215" s="64" t="s">
        <v>17</v>
      </c>
      <c r="L215" s="64">
        <v>4.5</v>
      </c>
      <c r="M215" s="66">
        <v>9.8092302509685023E-2</v>
      </c>
      <c r="N215" s="64">
        <v>47949.04</v>
      </c>
      <c r="O215" s="64" t="s">
        <v>18</v>
      </c>
    </row>
    <row r="216" spans="1:15" x14ac:dyDescent="0.3">
      <c r="A216" s="64">
        <v>215</v>
      </c>
      <c r="B216" s="64">
        <v>9041</v>
      </c>
      <c r="C216" s="64" t="s">
        <v>23</v>
      </c>
      <c r="D216" s="64" t="s">
        <v>20</v>
      </c>
      <c r="E216" s="64">
        <v>6076</v>
      </c>
      <c r="F216" s="64">
        <v>1</v>
      </c>
      <c r="G216" s="64">
        <v>6076</v>
      </c>
      <c r="H216" s="65">
        <v>45361</v>
      </c>
      <c r="I216" s="64" t="s">
        <v>15</v>
      </c>
      <c r="J216" s="64" t="s">
        <v>16</v>
      </c>
      <c r="K216" s="64" t="s">
        <v>28</v>
      </c>
      <c r="L216" s="64">
        <v>2.1</v>
      </c>
      <c r="M216" s="66">
        <v>0.28328670177748516</v>
      </c>
      <c r="N216" s="64">
        <v>101.55</v>
      </c>
      <c r="O216" s="64" t="s">
        <v>22</v>
      </c>
    </row>
    <row r="217" spans="1:15" x14ac:dyDescent="0.3">
      <c r="A217" s="64">
        <v>216</v>
      </c>
      <c r="B217" s="64">
        <v>1583</v>
      </c>
      <c r="C217" s="64" t="s">
        <v>13</v>
      </c>
      <c r="D217" s="64" t="s">
        <v>20</v>
      </c>
      <c r="E217" s="64">
        <v>3509</v>
      </c>
      <c r="F217" s="64">
        <v>2</v>
      </c>
      <c r="G217" s="64">
        <v>7018</v>
      </c>
      <c r="H217" s="65">
        <v>45345</v>
      </c>
      <c r="I217" s="64" t="s">
        <v>30</v>
      </c>
      <c r="J217" s="64" t="s">
        <v>16</v>
      </c>
      <c r="K217" s="64" t="s">
        <v>24</v>
      </c>
      <c r="L217" s="64">
        <v>4.5999999999999996</v>
      </c>
      <c r="M217" s="66">
        <v>0.11055856369335992</v>
      </c>
      <c r="N217" s="64">
        <v>1329.5</v>
      </c>
      <c r="O217" s="64" t="s">
        <v>18</v>
      </c>
    </row>
    <row r="218" spans="1:15" x14ac:dyDescent="0.3">
      <c r="A218" s="64">
        <v>217</v>
      </c>
      <c r="B218" s="64">
        <v>2994</v>
      </c>
      <c r="C218" s="64" t="s">
        <v>34</v>
      </c>
      <c r="D218" s="64" t="s">
        <v>14</v>
      </c>
      <c r="E218" s="64">
        <v>22170</v>
      </c>
      <c r="F218" s="64">
        <v>2</v>
      </c>
      <c r="G218" s="64">
        <v>44340</v>
      </c>
      <c r="H218" s="65">
        <v>45408</v>
      </c>
      <c r="I218" s="64" t="s">
        <v>15</v>
      </c>
      <c r="J218" s="64" t="s">
        <v>31</v>
      </c>
      <c r="K218" s="64" t="s">
        <v>28</v>
      </c>
      <c r="L218" s="64">
        <v>2.5</v>
      </c>
      <c r="M218" s="66">
        <v>0.1322893549842129</v>
      </c>
      <c r="N218" s="64">
        <v>7436.29</v>
      </c>
      <c r="O218" s="64" t="s">
        <v>22</v>
      </c>
    </row>
    <row r="219" spans="1:15" x14ac:dyDescent="0.3">
      <c r="A219" s="64">
        <v>218</v>
      </c>
      <c r="B219" s="64">
        <v>5558</v>
      </c>
      <c r="C219" s="64" t="s">
        <v>29</v>
      </c>
      <c r="D219" s="64" t="s">
        <v>25</v>
      </c>
      <c r="E219" s="64">
        <v>38981</v>
      </c>
      <c r="F219" s="64">
        <v>4</v>
      </c>
      <c r="G219" s="64">
        <v>155924</v>
      </c>
      <c r="H219" s="65">
        <v>45654</v>
      </c>
      <c r="I219" s="64" t="s">
        <v>15</v>
      </c>
      <c r="J219" s="64" t="s">
        <v>21</v>
      </c>
      <c r="K219" s="64" t="s">
        <v>24</v>
      </c>
      <c r="L219" s="64">
        <v>1.8</v>
      </c>
      <c r="M219" s="66">
        <v>0.12766719683948591</v>
      </c>
      <c r="N219" s="64">
        <v>26870.82</v>
      </c>
      <c r="O219" s="64" t="s">
        <v>18</v>
      </c>
    </row>
    <row r="220" spans="1:15" x14ac:dyDescent="0.3">
      <c r="A220" s="64">
        <v>219</v>
      </c>
      <c r="B220" s="64">
        <v>9223</v>
      </c>
      <c r="C220" s="64" t="s">
        <v>34</v>
      </c>
      <c r="D220" s="64" t="s">
        <v>14</v>
      </c>
      <c r="E220" s="64">
        <v>2164</v>
      </c>
      <c r="F220" s="64">
        <v>4</v>
      </c>
      <c r="G220" s="64">
        <v>8656</v>
      </c>
      <c r="H220" s="65">
        <v>45550</v>
      </c>
      <c r="I220" s="64" t="s">
        <v>15</v>
      </c>
      <c r="J220" s="64" t="s">
        <v>31</v>
      </c>
      <c r="K220" s="64" t="s">
        <v>17</v>
      </c>
      <c r="L220" s="64">
        <v>3.4</v>
      </c>
      <c r="M220" s="66">
        <v>0.22587107208872459</v>
      </c>
      <c r="N220" s="64">
        <v>641.66</v>
      </c>
      <c r="O220" s="64" t="s">
        <v>18</v>
      </c>
    </row>
    <row r="221" spans="1:15" x14ac:dyDescent="0.3">
      <c r="A221" s="64">
        <v>220</v>
      </c>
      <c r="B221" s="64">
        <v>2042</v>
      </c>
      <c r="C221" s="64" t="s">
        <v>19</v>
      </c>
      <c r="D221" s="64" t="s">
        <v>14</v>
      </c>
      <c r="E221" s="64">
        <v>572</v>
      </c>
      <c r="F221" s="64">
        <v>4</v>
      </c>
      <c r="G221" s="64">
        <v>2288</v>
      </c>
      <c r="H221" s="65">
        <v>45621</v>
      </c>
      <c r="I221" s="64" t="s">
        <v>26</v>
      </c>
      <c r="J221" s="64" t="s">
        <v>31</v>
      </c>
      <c r="K221" s="64" t="s">
        <v>28</v>
      </c>
      <c r="L221" s="64">
        <v>1.8</v>
      </c>
      <c r="M221" s="66">
        <v>0.16369755244755246</v>
      </c>
      <c r="N221" s="64">
        <v>311.86</v>
      </c>
      <c r="O221" s="64" t="s">
        <v>18</v>
      </c>
    </row>
    <row r="222" spans="1:15" x14ac:dyDescent="0.3">
      <c r="A222" s="64">
        <v>221</v>
      </c>
      <c r="B222" s="64">
        <v>3318</v>
      </c>
      <c r="C222" s="64" t="s">
        <v>13</v>
      </c>
      <c r="D222" s="64" t="s">
        <v>25</v>
      </c>
      <c r="E222" s="64">
        <v>25462</v>
      </c>
      <c r="F222" s="64">
        <v>5</v>
      </c>
      <c r="G222" s="64">
        <v>127310</v>
      </c>
      <c r="H222" s="65">
        <v>45647</v>
      </c>
      <c r="I222" s="64" t="s">
        <v>33</v>
      </c>
      <c r="J222" s="64" t="s">
        <v>21</v>
      </c>
      <c r="K222" s="64" t="s">
        <v>24</v>
      </c>
      <c r="L222" s="64">
        <v>4.9000000000000004</v>
      </c>
      <c r="M222" s="66">
        <v>0.16025983819024428</v>
      </c>
      <c r="N222" s="64">
        <v>17790.32</v>
      </c>
      <c r="O222" s="64" t="s">
        <v>22</v>
      </c>
    </row>
    <row r="223" spans="1:15" x14ac:dyDescent="0.3">
      <c r="A223" s="64">
        <v>222</v>
      </c>
      <c r="B223" s="64">
        <v>5821</v>
      </c>
      <c r="C223" s="64" t="s">
        <v>29</v>
      </c>
      <c r="D223" s="64" t="s">
        <v>25</v>
      </c>
      <c r="E223" s="64">
        <v>43175</v>
      </c>
      <c r="F223" s="64">
        <v>2</v>
      </c>
      <c r="G223" s="64">
        <v>86350</v>
      </c>
      <c r="H223" s="65">
        <v>45646</v>
      </c>
      <c r="I223" s="64" t="s">
        <v>33</v>
      </c>
      <c r="J223" s="64" t="s">
        <v>21</v>
      </c>
      <c r="K223" s="64" t="s">
        <v>17</v>
      </c>
      <c r="L223" s="64">
        <v>2.4</v>
      </c>
      <c r="M223" s="66">
        <v>0.27035066589461493</v>
      </c>
      <c r="N223" s="64">
        <v>2560.2199999999998</v>
      </c>
      <c r="O223" s="64" t="s">
        <v>18</v>
      </c>
    </row>
    <row r="224" spans="1:15" x14ac:dyDescent="0.3">
      <c r="A224" s="64">
        <v>223</v>
      </c>
      <c r="B224" s="64">
        <v>1313</v>
      </c>
      <c r="C224" s="64" t="s">
        <v>34</v>
      </c>
      <c r="D224" s="64" t="s">
        <v>14</v>
      </c>
      <c r="E224" s="64">
        <v>12844</v>
      </c>
      <c r="F224" s="64">
        <v>1</v>
      </c>
      <c r="G224" s="64">
        <v>12844</v>
      </c>
      <c r="H224" s="65">
        <v>45346</v>
      </c>
      <c r="I224" s="64" t="s">
        <v>15</v>
      </c>
      <c r="J224" s="64" t="s">
        <v>35</v>
      </c>
      <c r="K224" s="64" t="s">
        <v>24</v>
      </c>
      <c r="L224" s="64">
        <v>3.5</v>
      </c>
      <c r="M224" s="66">
        <v>0.12404469012768608</v>
      </c>
      <c r="N224" s="64">
        <v>2259.9699999999998</v>
      </c>
      <c r="O224" s="64" t="s">
        <v>22</v>
      </c>
    </row>
    <row r="225" spans="1:15" x14ac:dyDescent="0.3">
      <c r="A225" s="64">
        <v>224</v>
      </c>
      <c r="B225" s="64">
        <v>2560</v>
      </c>
      <c r="C225" s="64" t="s">
        <v>23</v>
      </c>
      <c r="D225" s="64" t="s">
        <v>25</v>
      </c>
      <c r="E225" s="64">
        <v>15570</v>
      </c>
      <c r="F225" s="64">
        <v>1</v>
      </c>
      <c r="G225" s="64">
        <v>15570</v>
      </c>
      <c r="H225" s="65">
        <v>45593</v>
      </c>
      <c r="I225" s="64" t="s">
        <v>15</v>
      </c>
      <c r="J225" s="64" t="s">
        <v>16</v>
      </c>
      <c r="K225" s="64" t="s">
        <v>17</v>
      </c>
      <c r="L225" s="64">
        <v>2.9</v>
      </c>
      <c r="M225" s="66">
        <v>0.22718497109826588</v>
      </c>
      <c r="N225" s="64">
        <v>1133.73</v>
      </c>
      <c r="O225" s="64" t="s">
        <v>18</v>
      </c>
    </row>
    <row r="226" spans="1:15" x14ac:dyDescent="0.3">
      <c r="A226" s="64">
        <v>225</v>
      </c>
      <c r="B226" s="64">
        <v>6991</v>
      </c>
      <c r="C226" s="64" t="s">
        <v>19</v>
      </c>
      <c r="D226" s="64" t="s">
        <v>25</v>
      </c>
      <c r="E226" s="64">
        <v>20968</v>
      </c>
      <c r="F226" s="64">
        <v>2</v>
      </c>
      <c r="G226" s="64">
        <v>41936</v>
      </c>
      <c r="H226" s="65">
        <v>45622</v>
      </c>
      <c r="I226" s="64" t="s">
        <v>30</v>
      </c>
      <c r="J226" s="64" t="s">
        <v>21</v>
      </c>
      <c r="K226" s="64" t="s">
        <v>24</v>
      </c>
      <c r="L226" s="64">
        <v>1.4</v>
      </c>
      <c r="M226" s="66">
        <v>6.8174837848149566E-2</v>
      </c>
      <c r="N226" s="64">
        <v>9721.82</v>
      </c>
      <c r="O226" s="64" t="s">
        <v>18</v>
      </c>
    </row>
    <row r="227" spans="1:15" x14ac:dyDescent="0.3">
      <c r="A227" s="64">
        <v>226</v>
      </c>
      <c r="B227" s="64">
        <v>6388</v>
      </c>
      <c r="C227" s="64" t="s">
        <v>29</v>
      </c>
      <c r="D227" s="64" t="s">
        <v>25</v>
      </c>
      <c r="E227" s="64">
        <v>24581</v>
      </c>
      <c r="F227" s="64">
        <v>5</v>
      </c>
      <c r="G227" s="64">
        <v>122905</v>
      </c>
      <c r="H227" s="65">
        <v>45612</v>
      </c>
      <c r="I227" s="64" t="s">
        <v>33</v>
      </c>
      <c r="J227" s="64" t="s">
        <v>31</v>
      </c>
      <c r="K227" s="64" t="s">
        <v>28</v>
      </c>
      <c r="L227" s="64">
        <v>1.1000000000000001</v>
      </c>
      <c r="M227" s="66">
        <v>0.28331866075424106</v>
      </c>
      <c r="N227" s="64">
        <v>2050.2199999999998</v>
      </c>
      <c r="O227" s="64" t="s">
        <v>18</v>
      </c>
    </row>
    <row r="228" spans="1:15" x14ac:dyDescent="0.3">
      <c r="A228" s="64">
        <v>227</v>
      </c>
      <c r="B228" s="64">
        <v>9527</v>
      </c>
      <c r="C228" s="64" t="s">
        <v>29</v>
      </c>
      <c r="D228" s="64" t="s">
        <v>14</v>
      </c>
      <c r="E228" s="64">
        <v>48013</v>
      </c>
      <c r="F228" s="64">
        <v>4</v>
      </c>
      <c r="G228" s="64">
        <v>192052</v>
      </c>
      <c r="H228" s="65">
        <v>45580</v>
      </c>
      <c r="I228" s="64" t="s">
        <v>15</v>
      </c>
      <c r="J228" s="64" t="s">
        <v>21</v>
      </c>
      <c r="K228" s="64" t="s">
        <v>28</v>
      </c>
      <c r="L228" s="64">
        <v>4</v>
      </c>
      <c r="M228" s="66">
        <v>7.5807593776685486E-2</v>
      </c>
      <c r="N228" s="64">
        <v>43056.6</v>
      </c>
      <c r="O228" s="64" t="s">
        <v>18</v>
      </c>
    </row>
    <row r="229" spans="1:15" x14ac:dyDescent="0.3">
      <c r="A229" s="64">
        <v>228</v>
      </c>
      <c r="B229" s="64">
        <v>2062</v>
      </c>
      <c r="C229" s="64" t="s">
        <v>32</v>
      </c>
      <c r="D229" s="64" t="s">
        <v>25</v>
      </c>
      <c r="E229" s="64">
        <v>18146</v>
      </c>
      <c r="F229" s="64">
        <v>5</v>
      </c>
      <c r="G229" s="64">
        <v>90730</v>
      </c>
      <c r="H229" s="65">
        <v>45331</v>
      </c>
      <c r="I229" s="64" t="s">
        <v>33</v>
      </c>
      <c r="J229" s="64" t="s">
        <v>35</v>
      </c>
      <c r="K229" s="64" t="s">
        <v>28</v>
      </c>
      <c r="L229" s="64">
        <v>2</v>
      </c>
      <c r="M229" s="66">
        <v>0.16494930012123885</v>
      </c>
      <c r="N229" s="64">
        <v>12253.15</v>
      </c>
      <c r="O229" s="64" t="s">
        <v>22</v>
      </c>
    </row>
    <row r="230" spans="1:15" x14ac:dyDescent="0.3">
      <c r="A230" s="64">
        <v>229</v>
      </c>
      <c r="B230" s="64">
        <v>6810</v>
      </c>
      <c r="C230" s="64" t="s">
        <v>13</v>
      </c>
      <c r="D230" s="64" t="s">
        <v>20</v>
      </c>
      <c r="E230" s="64">
        <v>26182</v>
      </c>
      <c r="F230" s="64">
        <v>1</v>
      </c>
      <c r="G230" s="64">
        <v>26182</v>
      </c>
      <c r="H230" s="65">
        <v>45443</v>
      </c>
      <c r="I230" s="64" t="s">
        <v>15</v>
      </c>
      <c r="J230" s="64" t="s">
        <v>35</v>
      </c>
      <c r="K230" s="64" t="s">
        <v>28</v>
      </c>
      <c r="L230" s="64">
        <v>3.5</v>
      </c>
      <c r="M230" s="66">
        <v>0.15327285921625544</v>
      </c>
      <c r="N230" s="64">
        <v>3841.61</v>
      </c>
      <c r="O230" s="64" t="s">
        <v>18</v>
      </c>
    </row>
    <row r="231" spans="1:15" x14ac:dyDescent="0.3">
      <c r="A231" s="64">
        <v>230</v>
      </c>
      <c r="B231" s="64">
        <v>8598</v>
      </c>
      <c r="C231" s="64" t="s">
        <v>19</v>
      </c>
      <c r="D231" s="64" t="s">
        <v>25</v>
      </c>
      <c r="E231" s="64">
        <v>42547</v>
      </c>
      <c r="F231" s="64">
        <v>3</v>
      </c>
      <c r="G231" s="64">
        <v>127641</v>
      </c>
      <c r="H231" s="65">
        <v>45634</v>
      </c>
      <c r="I231" s="64" t="s">
        <v>33</v>
      </c>
      <c r="J231" s="64" t="s">
        <v>27</v>
      </c>
      <c r="K231" s="64" t="s">
        <v>24</v>
      </c>
      <c r="L231" s="64">
        <v>1.8</v>
      </c>
      <c r="M231" s="66">
        <v>0.22488902468642522</v>
      </c>
      <c r="N231" s="64">
        <v>9587.24</v>
      </c>
      <c r="O231" s="64" t="s">
        <v>22</v>
      </c>
    </row>
    <row r="232" spans="1:15" x14ac:dyDescent="0.3">
      <c r="A232" s="64">
        <v>231</v>
      </c>
      <c r="B232" s="64">
        <v>7510</v>
      </c>
      <c r="C232" s="64" t="s">
        <v>29</v>
      </c>
      <c r="D232" s="64" t="s">
        <v>25</v>
      </c>
      <c r="E232" s="64">
        <v>1637</v>
      </c>
      <c r="F232" s="64">
        <v>2</v>
      </c>
      <c r="G232" s="64">
        <v>3274</v>
      </c>
      <c r="H232" s="65">
        <v>45543</v>
      </c>
      <c r="I232" s="64" t="s">
        <v>15</v>
      </c>
      <c r="J232" s="64" t="s">
        <v>21</v>
      </c>
      <c r="K232" s="64" t="s">
        <v>28</v>
      </c>
      <c r="L232" s="64">
        <v>3.6</v>
      </c>
      <c r="M232" s="66">
        <v>0.19422113622480147</v>
      </c>
      <c r="N232" s="64">
        <v>346.32</v>
      </c>
      <c r="O232" s="64" t="s">
        <v>18</v>
      </c>
    </row>
    <row r="233" spans="1:15" x14ac:dyDescent="0.3">
      <c r="A233" s="64">
        <v>232</v>
      </c>
      <c r="B233" s="64">
        <v>8626</v>
      </c>
      <c r="C233" s="64" t="s">
        <v>19</v>
      </c>
      <c r="D233" s="64" t="s">
        <v>25</v>
      </c>
      <c r="E233" s="64">
        <v>20727</v>
      </c>
      <c r="F233" s="64">
        <v>4</v>
      </c>
      <c r="G233" s="64">
        <v>82908</v>
      </c>
      <c r="H233" s="65">
        <v>45348</v>
      </c>
      <c r="I233" s="64" t="s">
        <v>30</v>
      </c>
      <c r="J233" s="64" t="s">
        <v>35</v>
      </c>
      <c r="K233" s="64" t="s">
        <v>24</v>
      </c>
      <c r="L233" s="64">
        <v>3.2</v>
      </c>
      <c r="M233" s="66">
        <v>0.24855140637815412</v>
      </c>
      <c r="N233" s="64">
        <v>4265.5</v>
      </c>
      <c r="O233" s="64" t="s">
        <v>22</v>
      </c>
    </row>
    <row r="234" spans="1:15" x14ac:dyDescent="0.3">
      <c r="A234" s="64">
        <v>233</v>
      </c>
      <c r="B234" s="64">
        <v>2723</v>
      </c>
      <c r="C234" s="64" t="s">
        <v>34</v>
      </c>
      <c r="D234" s="64" t="s">
        <v>25</v>
      </c>
      <c r="E234" s="64">
        <v>34087</v>
      </c>
      <c r="F234" s="64">
        <v>2</v>
      </c>
      <c r="G234" s="64">
        <v>68174</v>
      </c>
      <c r="H234" s="65">
        <v>45514</v>
      </c>
      <c r="I234" s="64" t="s">
        <v>26</v>
      </c>
      <c r="J234" s="64" t="s">
        <v>21</v>
      </c>
      <c r="K234" s="64" t="s">
        <v>28</v>
      </c>
      <c r="L234" s="64">
        <v>3.3</v>
      </c>
      <c r="M234" s="66">
        <v>0.29034514624343594</v>
      </c>
      <c r="N234" s="64">
        <v>658.21</v>
      </c>
      <c r="O234" s="64" t="s">
        <v>18</v>
      </c>
    </row>
    <row r="235" spans="1:15" x14ac:dyDescent="0.3">
      <c r="A235" s="64">
        <v>234</v>
      </c>
      <c r="B235" s="64">
        <v>7651</v>
      </c>
      <c r="C235" s="64" t="s">
        <v>29</v>
      </c>
      <c r="D235" s="64" t="s">
        <v>14</v>
      </c>
      <c r="E235" s="64">
        <v>23779</v>
      </c>
      <c r="F235" s="64">
        <v>2</v>
      </c>
      <c r="G235" s="64">
        <v>47558</v>
      </c>
      <c r="H235" s="65">
        <v>45499</v>
      </c>
      <c r="I235" s="64" t="s">
        <v>33</v>
      </c>
      <c r="J235" s="64" t="s">
        <v>31</v>
      </c>
      <c r="K235" s="64" t="s">
        <v>24</v>
      </c>
      <c r="L235" s="64">
        <v>3</v>
      </c>
      <c r="M235" s="66">
        <v>0.17072038353168761</v>
      </c>
      <c r="N235" s="64">
        <v>6148.28</v>
      </c>
      <c r="O235" s="64" t="s">
        <v>22</v>
      </c>
    </row>
    <row r="236" spans="1:15" x14ac:dyDescent="0.3">
      <c r="A236" s="64">
        <v>235</v>
      </c>
      <c r="B236" s="64">
        <v>5715</v>
      </c>
      <c r="C236" s="64" t="s">
        <v>29</v>
      </c>
      <c r="D236" s="64" t="s">
        <v>14</v>
      </c>
      <c r="E236" s="64">
        <v>11892</v>
      </c>
      <c r="F236" s="64">
        <v>1</v>
      </c>
      <c r="G236" s="64">
        <v>11892</v>
      </c>
      <c r="H236" s="65">
        <v>45607</v>
      </c>
      <c r="I236" s="64" t="s">
        <v>26</v>
      </c>
      <c r="J236" s="64" t="s">
        <v>16</v>
      </c>
      <c r="K236" s="64" t="s">
        <v>28</v>
      </c>
      <c r="L236" s="64">
        <v>2.5</v>
      </c>
      <c r="M236" s="66">
        <v>0.29857635385132864</v>
      </c>
      <c r="N236" s="64">
        <v>16.93</v>
      </c>
      <c r="O236" s="64" t="s">
        <v>22</v>
      </c>
    </row>
    <row r="237" spans="1:15" x14ac:dyDescent="0.3">
      <c r="A237" s="64">
        <v>236</v>
      </c>
      <c r="B237" s="64">
        <v>1857</v>
      </c>
      <c r="C237" s="64" t="s">
        <v>23</v>
      </c>
      <c r="D237" s="64" t="s">
        <v>20</v>
      </c>
      <c r="E237" s="64">
        <v>22939</v>
      </c>
      <c r="F237" s="64">
        <v>2</v>
      </c>
      <c r="G237" s="64">
        <v>45878</v>
      </c>
      <c r="H237" s="65">
        <v>45561</v>
      </c>
      <c r="I237" s="64" t="s">
        <v>26</v>
      </c>
      <c r="J237" s="64" t="s">
        <v>35</v>
      </c>
      <c r="K237" s="64" t="s">
        <v>28</v>
      </c>
      <c r="L237" s="64">
        <v>2.1</v>
      </c>
      <c r="M237" s="66">
        <v>0.15908213086882603</v>
      </c>
      <c r="N237" s="64">
        <v>6465.03</v>
      </c>
      <c r="O237" s="64" t="s">
        <v>18</v>
      </c>
    </row>
    <row r="238" spans="1:15" x14ac:dyDescent="0.3">
      <c r="A238" s="64">
        <v>237</v>
      </c>
      <c r="B238" s="64">
        <v>4433</v>
      </c>
      <c r="C238" s="64" t="s">
        <v>23</v>
      </c>
      <c r="D238" s="64" t="s">
        <v>25</v>
      </c>
      <c r="E238" s="64">
        <v>36061</v>
      </c>
      <c r="F238" s="64">
        <v>1</v>
      </c>
      <c r="G238" s="64">
        <v>36061</v>
      </c>
      <c r="H238" s="65">
        <v>45631</v>
      </c>
      <c r="I238" s="64" t="s">
        <v>15</v>
      </c>
      <c r="J238" s="64" t="s">
        <v>35</v>
      </c>
      <c r="K238" s="64" t="s">
        <v>17</v>
      </c>
      <c r="L238" s="64">
        <v>3.6</v>
      </c>
      <c r="M238" s="66">
        <v>0.29714178752669085</v>
      </c>
      <c r="N238" s="64">
        <v>103.07</v>
      </c>
      <c r="O238" s="64" t="s">
        <v>22</v>
      </c>
    </row>
    <row r="239" spans="1:15" x14ac:dyDescent="0.3">
      <c r="A239" s="64">
        <v>238</v>
      </c>
      <c r="B239" s="64">
        <v>4722</v>
      </c>
      <c r="C239" s="64" t="s">
        <v>32</v>
      </c>
      <c r="D239" s="64" t="s">
        <v>25</v>
      </c>
      <c r="E239" s="64">
        <v>14054</v>
      </c>
      <c r="F239" s="64">
        <v>1</v>
      </c>
      <c r="G239" s="64">
        <v>14054</v>
      </c>
      <c r="H239" s="65">
        <v>45373</v>
      </c>
      <c r="I239" s="64" t="s">
        <v>26</v>
      </c>
      <c r="J239" s="64" t="s">
        <v>31</v>
      </c>
      <c r="K239" s="64" t="s">
        <v>24</v>
      </c>
      <c r="L239" s="64">
        <v>2.9</v>
      </c>
      <c r="M239" s="66">
        <v>0.20250960580617619</v>
      </c>
      <c r="N239" s="64">
        <v>1370.13</v>
      </c>
      <c r="O239" s="64" t="s">
        <v>22</v>
      </c>
    </row>
    <row r="240" spans="1:15" x14ac:dyDescent="0.3">
      <c r="A240" s="64">
        <v>239</v>
      </c>
      <c r="B240" s="64">
        <v>6640</v>
      </c>
      <c r="C240" s="64" t="s">
        <v>19</v>
      </c>
      <c r="D240" s="64" t="s">
        <v>14</v>
      </c>
      <c r="E240" s="64">
        <v>4689</v>
      </c>
      <c r="F240" s="64">
        <v>1</v>
      </c>
      <c r="G240" s="64">
        <v>4689</v>
      </c>
      <c r="H240" s="65">
        <v>45355</v>
      </c>
      <c r="I240" s="64" t="s">
        <v>33</v>
      </c>
      <c r="J240" s="64" t="s">
        <v>16</v>
      </c>
      <c r="K240" s="64" t="s">
        <v>24</v>
      </c>
      <c r="L240" s="64">
        <v>1.3</v>
      </c>
      <c r="M240" s="66">
        <v>9.3378119001919391E-2</v>
      </c>
      <c r="N240" s="64">
        <v>968.85</v>
      </c>
      <c r="O240" s="64" t="s">
        <v>18</v>
      </c>
    </row>
    <row r="241" spans="1:15" x14ac:dyDescent="0.3">
      <c r="A241" s="64">
        <v>240</v>
      </c>
      <c r="B241" s="64">
        <v>5507</v>
      </c>
      <c r="C241" s="64" t="s">
        <v>13</v>
      </c>
      <c r="D241" s="64" t="s">
        <v>25</v>
      </c>
      <c r="E241" s="64">
        <v>35539</v>
      </c>
      <c r="F241" s="64">
        <v>5</v>
      </c>
      <c r="G241" s="64">
        <v>177695</v>
      </c>
      <c r="H241" s="65">
        <v>45560</v>
      </c>
      <c r="I241" s="64" t="s">
        <v>33</v>
      </c>
      <c r="J241" s="64" t="s">
        <v>27</v>
      </c>
      <c r="K241" s="64" t="s">
        <v>28</v>
      </c>
      <c r="L241" s="64">
        <v>2</v>
      </c>
      <c r="M241" s="66">
        <v>0.19073817496271703</v>
      </c>
      <c r="N241" s="64">
        <v>19415.28</v>
      </c>
      <c r="O241" s="64" t="s">
        <v>22</v>
      </c>
    </row>
    <row r="242" spans="1:15" x14ac:dyDescent="0.3">
      <c r="A242" s="64">
        <v>241</v>
      </c>
      <c r="B242" s="64">
        <v>6951</v>
      </c>
      <c r="C242" s="64" t="s">
        <v>32</v>
      </c>
      <c r="D242" s="64" t="s">
        <v>20</v>
      </c>
      <c r="E242" s="64">
        <v>36203</v>
      </c>
      <c r="F242" s="64">
        <v>3</v>
      </c>
      <c r="G242" s="64">
        <v>108609</v>
      </c>
      <c r="H242" s="65">
        <v>45417</v>
      </c>
      <c r="I242" s="64" t="s">
        <v>30</v>
      </c>
      <c r="J242" s="64" t="s">
        <v>27</v>
      </c>
      <c r="K242" s="64" t="s">
        <v>17</v>
      </c>
      <c r="L242" s="64">
        <v>2.6</v>
      </c>
      <c r="M242" s="66">
        <v>0.14046156395878795</v>
      </c>
      <c r="N242" s="64">
        <v>17327.310000000001</v>
      </c>
      <c r="O242" s="64" t="s">
        <v>22</v>
      </c>
    </row>
    <row r="243" spans="1:15" x14ac:dyDescent="0.3">
      <c r="A243" s="64">
        <v>242</v>
      </c>
      <c r="B243" s="64">
        <v>2173</v>
      </c>
      <c r="C243" s="64" t="s">
        <v>29</v>
      </c>
      <c r="D243" s="64" t="s">
        <v>25</v>
      </c>
      <c r="E243" s="64">
        <v>34263</v>
      </c>
      <c r="F243" s="64">
        <v>4</v>
      </c>
      <c r="G243" s="64">
        <v>137052</v>
      </c>
      <c r="H243" s="65">
        <v>45626</v>
      </c>
      <c r="I243" s="64" t="s">
        <v>15</v>
      </c>
      <c r="J243" s="64" t="s">
        <v>27</v>
      </c>
      <c r="K243" s="64" t="s">
        <v>17</v>
      </c>
      <c r="L243" s="64">
        <v>1.3</v>
      </c>
      <c r="M243" s="66">
        <v>6.5341330297989081E-2</v>
      </c>
      <c r="N243" s="64">
        <v>32160.44</v>
      </c>
      <c r="O243" s="64" t="s">
        <v>22</v>
      </c>
    </row>
    <row r="244" spans="1:15" x14ac:dyDescent="0.3">
      <c r="A244" s="64">
        <v>243</v>
      </c>
      <c r="B244" s="64">
        <v>7969</v>
      </c>
      <c r="C244" s="64" t="s">
        <v>34</v>
      </c>
      <c r="D244" s="64" t="s">
        <v>20</v>
      </c>
      <c r="E244" s="64">
        <v>16066</v>
      </c>
      <c r="F244" s="64">
        <v>2</v>
      </c>
      <c r="G244" s="64">
        <v>32132</v>
      </c>
      <c r="H244" s="65">
        <v>45359</v>
      </c>
      <c r="I244" s="64" t="s">
        <v>15</v>
      </c>
      <c r="J244" s="64" t="s">
        <v>35</v>
      </c>
      <c r="K244" s="64" t="s">
        <v>28</v>
      </c>
      <c r="L244" s="64">
        <v>1.7</v>
      </c>
      <c r="M244" s="66">
        <v>0.2201889082534545</v>
      </c>
      <c r="N244" s="64">
        <v>2564.4899999999998</v>
      </c>
      <c r="O244" s="64" t="s">
        <v>22</v>
      </c>
    </row>
    <row r="245" spans="1:15" x14ac:dyDescent="0.3">
      <c r="A245" s="64">
        <v>244</v>
      </c>
      <c r="B245" s="64">
        <v>5908</v>
      </c>
      <c r="C245" s="64" t="s">
        <v>29</v>
      </c>
      <c r="D245" s="64" t="s">
        <v>20</v>
      </c>
      <c r="E245" s="64">
        <v>26283</v>
      </c>
      <c r="F245" s="64">
        <v>2</v>
      </c>
      <c r="G245" s="64">
        <v>52566</v>
      </c>
      <c r="H245" s="65">
        <v>45469</v>
      </c>
      <c r="I245" s="64" t="s">
        <v>15</v>
      </c>
      <c r="J245" s="64" t="s">
        <v>16</v>
      </c>
      <c r="K245" s="64" t="s">
        <v>28</v>
      </c>
      <c r="L245" s="64">
        <v>4.0999999999999996</v>
      </c>
      <c r="M245" s="66">
        <v>0.13337347334779134</v>
      </c>
      <c r="N245" s="64">
        <v>8758.89</v>
      </c>
      <c r="O245" s="64" t="s">
        <v>22</v>
      </c>
    </row>
    <row r="246" spans="1:15" x14ac:dyDescent="0.3">
      <c r="A246" s="64">
        <v>245</v>
      </c>
      <c r="B246" s="64">
        <v>5887</v>
      </c>
      <c r="C246" s="64" t="s">
        <v>13</v>
      </c>
      <c r="D246" s="64" t="s">
        <v>14</v>
      </c>
      <c r="E246" s="64">
        <v>35268</v>
      </c>
      <c r="F246" s="64">
        <v>2</v>
      </c>
      <c r="G246" s="64">
        <v>70536</v>
      </c>
      <c r="H246" s="65">
        <v>45647</v>
      </c>
      <c r="I246" s="64" t="s">
        <v>33</v>
      </c>
      <c r="J246" s="64" t="s">
        <v>35</v>
      </c>
      <c r="K246" s="64" t="s">
        <v>28</v>
      </c>
      <c r="L246" s="64">
        <v>2.8</v>
      </c>
      <c r="M246" s="66">
        <v>0.2076317057956221</v>
      </c>
      <c r="N246" s="64">
        <v>6515.29</v>
      </c>
      <c r="O246" s="64" t="s">
        <v>18</v>
      </c>
    </row>
    <row r="247" spans="1:15" x14ac:dyDescent="0.3">
      <c r="A247" s="64">
        <v>246</v>
      </c>
      <c r="B247" s="64">
        <v>2416</v>
      </c>
      <c r="C247" s="64" t="s">
        <v>23</v>
      </c>
      <c r="D247" s="64" t="s">
        <v>14</v>
      </c>
      <c r="E247" s="64">
        <v>29218</v>
      </c>
      <c r="F247" s="64">
        <v>5</v>
      </c>
      <c r="G247" s="64">
        <v>146090</v>
      </c>
      <c r="H247" s="65">
        <v>45522</v>
      </c>
      <c r="I247" s="64" t="s">
        <v>15</v>
      </c>
      <c r="J247" s="64" t="s">
        <v>35</v>
      </c>
      <c r="K247" s="64" t="s">
        <v>24</v>
      </c>
      <c r="L247" s="64">
        <v>2.2999999999999998</v>
      </c>
      <c r="M247" s="66">
        <v>0.20909555753302758</v>
      </c>
      <c r="N247" s="64">
        <v>13280.23</v>
      </c>
      <c r="O247" s="64" t="s">
        <v>18</v>
      </c>
    </row>
    <row r="248" spans="1:15" x14ac:dyDescent="0.3">
      <c r="A248" s="64">
        <v>247</v>
      </c>
      <c r="B248" s="64">
        <v>1138</v>
      </c>
      <c r="C248" s="64" t="s">
        <v>34</v>
      </c>
      <c r="D248" s="64" t="s">
        <v>20</v>
      </c>
      <c r="E248" s="64">
        <v>40967</v>
      </c>
      <c r="F248" s="64">
        <v>1</v>
      </c>
      <c r="G248" s="64">
        <v>40967</v>
      </c>
      <c r="H248" s="65">
        <v>45655</v>
      </c>
      <c r="I248" s="64" t="s">
        <v>15</v>
      </c>
      <c r="J248" s="64" t="s">
        <v>35</v>
      </c>
      <c r="K248" s="64" t="s">
        <v>17</v>
      </c>
      <c r="L248" s="64">
        <v>2.8</v>
      </c>
      <c r="M248" s="66">
        <v>8.7203358800986161E-2</v>
      </c>
      <c r="N248" s="64">
        <v>8717.64</v>
      </c>
      <c r="O248" s="64" t="s">
        <v>22</v>
      </c>
    </row>
    <row r="249" spans="1:15" x14ac:dyDescent="0.3">
      <c r="A249" s="64">
        <v>248</v>
      </c>
      <c r="B249" s="64">
        <v>5790</v>
      </c>
      <c r="C249" s="64" t="s">
        <v>13</v>
      </c>
      <c r="D249" s="64" t="s">
        <v>20</v>
      </c>
      <c r="E249" s="64">
        <v>34189</v>
      </c>
      <c r="F249" s="64">
        <v>2</v>
      </c>
      <c r="G249" s="64">
        <v>68378</v>
      </c>
      <c r="H249" s="65">
        <v>45463</v>
      </c>
      <c r="I249" s="64" t="s">
        <v>15</v>
      </c>
      <c r="J249" s="64" t="s">
        <v>16</v>
      </c>
      <c r="K249" s="64" t="s">
        <v>24</v>
      </c>
      <c r="L249" s="64">
        <v>4</v>
      </c>
      <c r="M249" s="66">
        <v>0.17361300418263184</v>
      </c>
      <c r="N249" s="64">
        <v>8642.09</v>
      </c>
      <c r="O249" s="64" t="s">
        <v>18</v>
      </c>
    </row>
    <row r="250" spans="1:15" x14ac:dyDescent="0.3">
      <c r="A250" s="64">
        <v>249</v>
      </c>
      <c r="B250" s="64">
        <v>2652</v>
      </c>
      <c r="C250" s="64" t="s">
        <v>29</v>
      </c>
      <c r="D250" s="64" t="s">
        <v>25</v>
      </c>
      <c r="E250" s="64">
        <v>19784</v>
      </c>
      <c r="F250" s="64">
        <v>2</v>
      </c>
      <c r="G250" s="64">
        <v>39568</v>
      </c>
      <c r="H250" s="65">
        <v>45483</v>
      </c>
      <c r="I250" s="64" t="s">
        <v>30</v>
      </c>
      <c r="J250" s="64" t="s">
        <v>35</v>
      </c>
      <c r="K250" s="64" t="s">
        <v>17</v>
      </c>
      <c r="L250" s="64">
        <v>4.4000000000000004</v>
      </c>
      <c r="M250" s="66">
        <v>0.19110695511524464</v>
      </c>
      <c r="N250" s="64">
        <v>4308.68</v>
      </c>
      <c r="O250" s="64" t="s">
        <v>22</v>
      </c>
    </row>
    <row r="251" spans="1:15" x14ac:dyDescent="0.3">
      <c r="A251" s="64">
        <v>250</v>
      </c>
      <c r="B251" s="64">
        <v>5560</v>
      </c>
      <c r="C251" s="64" t="s">
        <v>23</v>
      </c>
      <c r="D251" s="64" t="s">
        <v>20</v>
      </c>
      <c r="E251" s="64">
        <v>47241</v>
      </c>
      <c r="F251" s="64">
        <v>5</v>
      </c>
      <c r="G251" s="64">
        <v>236205</v>
      </c>
      <c r="H251" s="65">
        <v>45650</v>
      </c>
      <c r="I251" s="64" t="s">
        <v>26</v>
      </c>
      <c r="J251" s="64" t="s">
        <v>21</v>
      </c>
      <c r="K251" s="64" t="s">
        <v>28</v>
      </c>
      <c r="L251" s="64">
        <v>4.7</v>
      </c>
      <c r="M251" s="66">
        <v>8.5776169005736536E-2</v>
      </c>
      <c r="N251" s="64">
        <v>50600.74</v>
      </c>
      <c r="O251" s="64" t="s">
        <v>22</v>
      </c>
    </row>
    <row r="252" spans="1:15" x14ac:dyDescent="0.3">
      <c r="A252" s="64">
        <v>251</v>
      </c>
      <c r="B252" s="64">
        <v>2102</v>
      </c>
      <c r="C252" s="64" t="s">
        <v>23</v>
      </c>
      <c r="D252" s="64" t="s">
        <v>25</v>
      </c>
      <c r="E252" s="64">
        <v>47711</v>
      </c>
      <c r="F252" s="64">
        <v>3</v>
      </c>
      <c r="G252" s="64">
        <v>143133</v>
      </c>
      <c r="H252" s="65">
        <v>45585</v>
      </c>
      <c r="I252" s="64" t="s">
        <v>30</v>
      </c>
      <c r="J252" s="64" t="s">
        <v>16</v>
      </c>
      <c r="K252" s="64" t="s">
        <v>17</v>
      </c>
      <c r="L252" s="64">
        <v>2.6</v>
      </c>
      <c r="M252" s="66">
        <v>9.4287760334793511E-2</v>
      </c>
      <c r="N252" s="64">
        <v>29444.21</v>
      </c>
      <c r="O252" s="64" t="s">
        <v>18</v>
      </c>
    </row>
    <row r="253" spans="1:15" x14ac:dyDescent="0.3">
      <c r="A253" s="64">
        <v>252</v>
      </c>
      <c r="B253" s="64">
        <v>7123</v>
      </c>
      <c r="C253" s="64" t="s">
        <v>23</v>
      </c>
      <c r="D253" s="64" t="s">
        <v>25</v>
      </c>
      <c r="E253" s="64">
        <v>20989</v>
      </c>
      <c r="F253" s="64">
        <v>4</v>
      </c>
      <c r="G253" s="64">
        <v>83956</v>
      </c>
      <c r="H253" s="65">
        <v>45473</v>
      </c>
      <c r="I253" s="64" t="s">
        <v>26</v>
      </c>
      <c r="J253" s="64" t="s">
        <v>35</v>
      </c>
      <c r="K253" s="64" t="s">
        <v>28</v>
      </c>
      <c r="L253" s="64">
        <v>3.1</v>
      </c>
      <c r="M253" s="66">
        <v>0.22609676497212827</v>
      </c>
      <c r="N253" s="64">
        <v>6204.62</v>
      </c>
      <c r="O253" s="64" t="s">
        <v>18</v>
      </c>
    </row>
    <row r="254" spans="1:15" x14ac:dyDescent="0.3">
      <c r="A254" s="64">
        <v>253</v>
      </c>
      <c r="B254" s="64">
        <v>8159</v>
      </c>
      <c r="C254" s="64" t="s">
        <v>32</v>
      </c>
      <c r="D254" s="64" t="s">
        <v>14</v>
      </c>
      <c r="E254" s="64">
        <v>49629</v>
      </c>
      <c r="F254" s="64">
        <v>1</v>
      </c>
      <c r="G254" s="64">
        <v>49629</v>
      </c>
      <c r="H254" s="65">
        <v>45590</v>
      </c>
      <c r="I254" s="64" t="s">
        <v>30</v>
      </c>
      <c r="J254" s="64" t="s">
        <v>27</v>
      </c>
      <c r="K254" s="64" t="s">
        <v>28</v>
      </c>
      <c r="L254" s="64">
        <v>3.7</v>
      </c>
      <c r="M254" s="66">
        <v>0.28998166394648289</v>
      </c>
      <c r="N254" s="64">
        <v>497.2</v>
      </c>
      <c r="O254" s="64" t="s">
        <v>22</v>
      </c>
    </row>
    <row r="255" spans="1:15" x14ac:dyDescent="0.3">
      <c r="A255" s="64">
        <v>254</v>
      </c>
      <c r="B255" s="64">
        <v>5245</v>
      </c>
      <c r="C255" s="64" t="s">
        <v>19</v>
      </c>
      <c r="D255" s="64" t="s">
        <v>14</v>
      </c>
      <c r="E255" s="64">
        <v>26044</v>
      </c>
      <c r="F255" s="64">
        <v>3</v>
      </c>
      <c r="G255" s="64">
        <v>78132</v>
      </c>
      <c r="H255" s="65">
        <v>45431</v>
      </c>
      <c r="I255" s="64" t="s">
        <v>30</v>
      </c>
      <c r="J255" s="64" t="s">
        <v>21</v>
      </c>
      <c r="K255" s="64" t="s">
        <v>17</v>
      </c>
      <c r="L255" s="64">
        <v>4.9000000000000004</v>
      </c>
      <c r="M255" s="66">
        <v>0.18319280192494752</v>
      </c>
      <c r="N255" s="64">
        <v>9126.3799999999992</v>
      </c>
      <c r="O255" s="64" t="s">
        <v>18</v>
      </c>
    </row>
    <row r="256" spans="1:15" x14ac:dyDescent="0.3">
      <c r="A256" s="64">
        <v>255</v>
      </c>
      <c r="B256" s="64">
        <v>5020</v>
      </c>
      <c r="C256" s="64" t="s">
        <v>29</v>
      </c>
      <c r="D256" s="64" t="s">
        <v>25</v>
      </c>
      <c r="E256" s="64">
        <v>41347</v>
      </c>
      <c r="F256" s="64">
        <v>2</v>
      </c>
      <c r="G256" s="64">
        <v>82694</v>
      </c>
      <c r="H256" s="65">
        <v>45393</v>
      </c>
      <c r="I256" s="64" t="s">
        <v>26</v>
      </c>
      <c r="J256" s="64" t="s">
        <v>21</v>
      </c>
      <c r="K256" s="64" t="s">
        <v>17</v>
      </c>
      <c r="L256" s="64">
        <v>1.5</v>
      </c>
      <c r="M256" s="66">
        <v>0.26632923791327062</v>
      </c>
      <c r="N256" s="64">
        <v>2784.37</v>
      </c>
      <c r="O256" s="64" t="s">
        <v>22</v>
      </c>
    </row>
    <row r="257" spans="1:15" x14ac:dyDescent="0.3">
      <c r="A257" s="64">
        <v>256</v>
      </c>
      <c r="B257" s="64">
        <v>1213</v>
      </c>
      <c r="C257" s="64" t="s">
        <v>23</v>
      </c>
      <c r="D257" s="64" t="s">
        <v>14</v>
      </c>
      <c r="E257" s="64">
        <v>1737</v>
      </c>
      <c r="F257" s="64">
        <v>3</v>
      </c>
      <c r="G257" s="64">
        <v>5211</v>
      </c>
      <c r="H257" s="65">
        <v>45581</v>
      </c>
      <c r="I257" s="64" t="s">
        <v>30</v>
      </c>
      <c r="J257" s="64" t="s">
        <v>27</v>
      </c>
      <c r="K257" s="64" t="s">
        <v>17</v>
      </c>
      <c r="L257" s="64">
        <v>3.3</v>
      </c>
      <c r="M257" s="66">
        <v>0.11938207637689503</v>
      </c>
      <c r="N257" s="64">
        <v>941.2</v>
      </c>
      <c r="O257" s="64" t="s">
        <v>18</v>
      </c>
    </row>
    <row r="258" spans="1:15" x14ac:dyDescent="0.3">
      <c r="A258" s="64">
        <v>257</v>
      </c>
      <c r="B258" s="64">
        <v>5257</v>
      </c>
      <c r="C258" s="64" t="s">
        <v>32</v>
      </c>
      <c r="D258" s="64" t="s">
        <v>14</v>
      </c>
      <c r="E258" s="64">
        <v>20244</v>
      </c>
      <c r="F258" s="64">
        <v>3</v>
      </c>
      <c r="G258" s="64">
        <v>60732</v>
      </c>
      <c r="H258" s="65">
        <v>45399</v>
      </c>
      <c r="I258" s="64" t="s">
        <v>30</v>
      </c>
      <c r="J258" s="64" t="s">
        <v>16</v>
      </c>
      <c r="K258" s="64" t="s">
        <v>17</v>
      </c>
      <c r="L258" s="64">
        <v>3.6</v>
      </c>
      <c r="M258" s="66">
        <v>0.13363218731475993</v>
      </c>
      <c r="N258" s="64">
        <v>10103.85</v>
      </c>
      <c r="O258" s="64" t="s">
        <v>18</v>
      </c>
    </row>
    <row r="259" spans="1:15" x14ac:dyDescent="0.3">
      <c r="A259" s="64">
        <v>258</v>
      </c>
      <c r="B259" s="64">
        <v>8903</v>
      </c>
      <c r="C259" s="64" t="s">
        <v>32</v>
      </c>
      <c r="D259" s="64" t="s">
        <v>14</v>
      </c>
      <c r="E259" s="64">
        <v>49128</v>
      </c>
      <c r="F259" s="64">
        <v>2</v>
      </c>
      <c r="G259" s="64">
        <v>98256</v>
      </c>
      <c r="H259" s="65">
        <v>45346</v>
      </c>
      <c r="I259" s="64" t="s">
        <v>30</v>
      </c>
      <c r="J259" s="64" t="s">
        <v>31</v>
      </c>
      <c r="K259" s="64" t="s">
        <v>17</v>
      </c>
      <c r="L259" s="64">
        <v>4.0999999999999996</v>
      </c>
      <c r="M259" s="66">
        <v>0.18905379824132876</v>
      </c>
      <c r="N259" s="64">
        <v>10901.13</v>
      </c>
      <c r="O259" s="64" t="s">
        <v>18</v>
      </c>
    </row>
    <row r="260" spans="1:15" x14ac:dyDescent="0.3">
      <c r="A260" s="64">
        <v>259</v>
      </c>
      <c r="B260" s="64">
        <v>9754</v>
      </c>
      <c r="C260" s="64" t="s">
        <v>34</v>
      </c>
      <c r="D260" s="64" t="s">
        <v>25</v>
      </c>
      <c r="E260" s="64">
        <v>17381</v>
      </c>
      <c r="F260" s="64">
        <v>1</v>
      </c>
      <c r="G260" s="64">
        <v>17381</v>
      </c>
      <c r="H260" s="65">
        <v>45607</v>
      </c>
      <c r="I260" s="64" t="s">
        <v>15</v>
      </c>
      <c r="J260" s="64" t="s">
        <v>27</v>
      </c>
      <c r="K260" s="64" t="s">
        <v>28</v>
      </c>
      <c r="L260" s="64">
        <v>2.5</v>
      </c>
      <c r="M260" s="66">
        <v>0.24250388355100397</v>
      </c>
      <c r="N260" s="64">
        <v>999.34</v>
      </c>
      <c r="O260" s="64" t="s">
        <v>18</v>
      </c>
    </row>
    <row r="261" spans="1:15" x14ac:dyDescent="0.3">
      <c r="A261" s="64">
        <v>260</v>
      </c>
      <c r="B261" s="64">
        <v>9148</v>
      </c>
      <c r="C261" s="64" t="s">
        <v>34</v>
      </c>
      <c r="D261" s="64" t="s">
        <v>25</v>
      </c>
      <c r="E261" s="64">
        <v>13727</v>
      </c>
      <c r="F261" s="64">
        <v>4</v>
      </c>
      <c r="G261" s="64">
        <v>54908</v>
      </c>
      <c r="H261" s="65">
        <v>45395</v>
      </c>
      <c r="I261" s="64" t="s">
        <v>30</v>
      </c>
      <c r="J261" s="64" t="s">
        <v>31</v>
      </c>
      <c r="K261" s="64" t="s">
        <v>28</v>
      </c>
      <c r="L261" s="64">
        <v>2</v>
      </c>
      <c r="M261" s="66">
        <v>0.22874954469294093</v>
      </c>
      <c r="N261" s="64">
        <v>3912.22</v>
      </c>
      <c r="O261" s="64" t="s">
        <v>18</v>
      </c>
    </row>
    <row r="262" spans="1:15" x14ac:dyDescent="0.3">
      <c r="A262" s="64">
        <v>261</v>
      </c>
      <c r="B262" s="64">
        <v>8144</v>
      </c>
      <c r="C262" s="64" t="s">
        <v>13</v>
      </c>
      <c r="D262" s="64" t="s">
        <v>25</v>
      </c>
      <c r="E262" s="64">
        <v>30014</v>
      </c>
      <c r="F262" s="64">
        <v>5</v>
      </c>
      <c r="G262" s="64">
        <v>150070</v>
      </c>
      <c r="H262" s="65">
        <v>45404</v>
      </c>
      <c r="I262" s="64" t="s">
        <v>15</v>
      </c>
      <c r="J262" s="64" t="s">
        <v>35</v>
      </c>
      <c r="K262" s="64" t="s">
        <v>28</v>
      </c>
      <c r="L262" s="64">
        <v>4.9000000000000004</v>
      </c>
      <c r="M262" s="66">
        <v>0.28477883654294661</v>
      </c>
      <c r="N262" s="64">
        <v>2284.2399999999998</v>
      </c>
      <c r="O262" s="64" t="s">
        <v>18</v>
      </c>
    </row>
    <row r="263" spans="1:15" x14ac:dyDescent="0.3">
      <c r="A263" s="64">
        <v>262</v>
      </c>
      <c r="B263" s="64">
        <v>2922</v>
      </c>
      <c r="C263" s="64" t="s">
        <v>23</v>
      </c>
      <c r="D263" s="64" t="s">
        <v>14</v>
      </c>
      <c r="E263" s="64">
        <v>14936</v>
      </c>
      <c r="F263" s="64">
        <v>2</v>
      </c>
      <c r="G263" s="64">
        <v>29872</v>
      </c>
      <c r="H263" s="65">
        <v>45307</v>
      </c>
      <c r="I263" s="64" t="s">
        <v>26</v>
      </c>
      <c r="J263" s="64" t="s">
        <v>35</v>
      </c>
      <c r="K263" s="64" t="s">
        <v>28</v>
      </c>
      <c r="L263" s="64">
        <v>2.8</v>
      </c>
      <c r="M263" s="66">
        <v>0.17816148901981788</v>
      </c>
      <c r="N263" s="64">
        <v>3639.56</v>
      </c>
      <c r="O263" s="64" t="s">
        <v>18</v>
      </c>
    </row>
    <row r="264" spans="1:15" x14ac:dyDescent="0.3">
      <c r="A264" s="64">
        <v>263</v>
      </c>
      <c r="B264" s="64">
        <v>6483</v>
      </c>
      <c r="C264" s="64" t="s">
        <v>34</v>
      </c>
      <c r="D264" s="64" t="s">
        <v>25</v>
      </c>
      <c r="E264" s="64">
        <v>9129</v>
      </c>
      <c r="F264" s="64">
        <v>4</v>
      </c>
      <c r="G264" s="64">
        <v>36516</v>
      </c>
      <c r="H264" s="65">
        <v>45435</v>
      </c>
      <c r="I264" s="64" t="s">
        <v>26</v>
      </c>
      <c r="J264" s="64" t="s">
        <v>27</v>
      </c>
      <c r="K264" s="64" t="s">
        <v>17</v>
      </c>
      <c r="L264" s="64">
        <v>2.5</v>
      </c>
      <c r="M264" s="66">
        <v>6.8396593274181183E-2</v>
      </c>
      <c r="N264" s="64">
        <v>8457.23</v>
      </c>
      <c r="O264" s="64" t="s">
        <v>22</v>
      </c>
    </row>
    <row r="265" spans="1:15" x14ac:dyDescent="0.3">
      <c r="A265" s="64">
        <v>264</v>
      </c>
      <c r="B265" s="64">
        <v>2109</v>
      </c>
      <c r="C265" s="64" t="s">
        <v>29</v>
      </c>
      <c r="D265" s="64" t="s">
        <v>25</v>
      </c>
      <c r="E265" s="64">
        <v>20389</v>
      </c>
      <c r="F265" s="64">
        <v>1</v>
      </c>
      <c r="G265" s="64">
        <v>20389</v>
      </c>
      <c r="H265" s="65">
        <v>45549</v>
      </c>
      <c r="I265" s="64" t="s">
        <v>15</v>
      </c>
      <c r="J265" s="64" t="s">
        <v>35</v>
      </c>
      <c r="K265" s="64" t="s">
        <v>17</v>
      </c>
      <c r="L265" s="64">
        <v>3.4</v>
      </c>
      <c r="M265" s="66">
        <v>6.1500318799352596E-2</v>
      </c>
      <c r="N265" s="64">
        <v>4862.7700000000004</v>
      </c>
      <c r="O265" s="64" t="s">
        <v>18</v>
      </c>
    </row>
    <row r="266" spans="1:15" x14ac:dyDescent="0.3">
      <c r="A266" s="64">
        <v>265</v>
      </c>
      <c r="B266" s="64">
        <v>7639</v>
      </c>
      <c r="C266" s="64" t="s">
        <v>32</v>
      </c>
      <c r="D266" s="64" t="s">
        <v>20</v>
      </c>
      <c r="E266" s="64">
        <v>42961</v>
      </c>
      <c r="F266" s="64">
        <v>3</v>
      </c>
      <c r="G266" s="64">
        <v>128883</v>
      </c>
      <c r="H266" s="65">
        <v>45567</v>
      </c>
      <c r="I266" s="64" t="s">
        <v>15</v>
      </c>
      <c r="J266" s="64" t="s">
        <v>27</v>
      </c>
      <c r="K266" s="64" t="s">
        <v>24</v>
      </c>
      <c r="L266" s="64">
        <v>3.4</v>
      </c>
      <c r="M266" s="66">
        <v>0.10171147474841523</v>
      </c>
      <c r="N266" s="64">
        <v>25556.02</v>
      </c>
      <c r="O266" s="64" t="s">
        <v>18</v>
      </c>
    </row>
    <row r="267" spans="1:15" x14ac:dyDescent="0.3">
      <c r="A267" s="64">
        <v>266</v>
      </c>
      <c r="B267" s="64">
        <v>1259</v>
      </c>
      <c r="C267" s="64" t="s">
        <v>23</v>
      </c>
      <c r="D267" s="64" t="s">
        <v>14</v>
      </c>
      <c r="E267" s="64">
        <v>20316</v>
      </c>
      <c r="F267" s="64">
        <v>1</v>
      </c>
      <c r="G267" s="64">
        <v>20316</v>
      </c>
      <c r="H267" s="65">
        <v>45440</v>
      </c>
      <c r="I267" s="64" t="s">
        <v>15</v>
      </c>
      <c r="J267" s="64" t="s">
        <v>31</v>
      </c>
      <c r="K267" s="64" t="s">
        <v>17</v>
      </c>
      <c r="L267" s="64">
        <v>3.8</v>
      </c>
      <c r="M267" s="66">
        <v>0.26299517621579049</v>
      </c>
      <c r="N267" s="64">
        <v>751.79</v>
      </c>
      <c r="O267" s="64" t="s">
        <v>18</v>
      </c>
    </row>
    <row r="268" spans="1:15" x14ac:dyDescent="0.3">
      <c r="A268" s="64">
        <v>267</v>
      </c>
      <c r="B268" s="64">
        <v>8633</v>
      </c>
      <c r="C268" s="64" t="s">
        <v>13</v>
      </c>
      <c r="D268" s="64" t="s">
        <v>14</v>
      </c>
      <c r="E268" s="64">
        <v>41664</v>
      </c>
      <c r="F268" s="64">
        <v>1</v>
      </c>
      <c r="G268" s="64">
        <v>41664</v>
      </c>
      <c r="H268" s="65">
        <v>45585</v>
      </c>
      <c r="I268" s="64" t="s">
        <v>33</v>
      </c>
      <c r="J268" s="64" t="s">
        <v>35</v>
      </c>
      <c r="K268" s="64" t="s">
        <v>28</v>
      </c>
      <c r="L268" s="64">
        <v>4.4000000000000004</v>
      </c>
      <c r="M268" s="66">
        <v>0.1880981182795699</v>
      </c>
      <c r="N268" s="64">
        <v>4662.28</v>
      </c>
      <c r="O268" s="64" t="s">
        <v>18</v>
      </c>
    </row>
    <row r="269" spans="1:15" x14ac:dyDescent="0.3">
      <c r="A269" s="64">
        <v>268</v>
      </c>
      <c r="B269" s="64">
        <v>8952</v>
      </c>
      <c r="C269" s="64" t="s">
        <v>19</v>
      </c>
      <c r="D269" s="64" t="s">
        <v>25</v>
      </c>
      <c r="E269" s="64">
        <v>37937</v>
      </c>
      <c r="F269" s="64">
        <v>4</v>
      </c>
      <c r="G269" s="64">
        <v>151748</v>
      </c>
      <c r="H269" s="65">
        <v>45448</v>
      </c>
      <c r="I269" s="64" t="s">
        <v>30</v>
      </c>
      <c r="J269" s="64" t="s">
        <v>31</v>
      </c>
      <c r="K269" s="64" t="s">
        <v>24</v>
      </c>
      <c r="L269" s="64">
        <v>3.3</v>
      </c>
      <c r="M269" s="66">
        <v>0.27067243060864066</v>
      </c>
      <c r="N269" s="64">
        <v>4450.3999999999996</v>
      </c>
      <c r="O269" s="64" t="s">
        <v>22</v>
      </c>
    </row>
    <row r="270" spans="1:15" x14ac:dyDescent="0.3">
      <c r="A270" s="64">
        <v>269</v>
      </c>
      <c r="B270" s="64">
        <v>3350</v>
      </c>
      <c r="C270" s="64" t="s">
        <v>13</v>
      </c>
      <c r="D270" s="64" t="s">
        <v>20</v>
      </c>
      <c r="E270" s="64">
        <v>37778</v>
      </c>
      <c r="F270" s="64">
        <v>5</v>
      </c>
      <c r="G270" s="64">
        <v>188890</v>
      </c>
      <c r="H270" s="65">
        <v>45491</v>
      </c>
      <c r="I270" s="64" t="s">
        <v>15</v>
      </c>
      <c r="J270" s="64" t="s">
        <v>16</v>
      </c>
      <c r="K270" s="64" t="s">
        <v>28</v>
      </c>
      <c r="L270" s="64">
        <v>2.4</v>
      </c>
      <c r="M270" s="66">
        <v>0.28150521467520778</v>
      </c>
      <c r="N270" s="64">
        <v>3493.48</v>
      </c>
      <c r="O270" s="64" t="s">
        <v>22</v>
      </c>
    </row>
    <row r="271" spans="1:15" x14ac:dyDescent="0.3">
      <c r="A271" s="64">
        <v>270</v>
      </c>
      <c r="B271" s="64">
        <v>7056</v>
      </c>
      <c r="C271" s="64" t="s">
        <v>13</v>
      </c>
      <c r="D271" s="64" t="s">
        <v>14</v>
      </c>
      <c r="E271" s="64">
        <v>21663</v>
      </c>
      <c r="F271" s="64">
        <v>1</v>
      </c>
      <c r="G271" s="64">
        <v>21663</v>
      </c>
      <c r="H271" s="65">
        <v>45443</v>
      </c>
      <c r="I271" s="64" t="s">
        <v>26</v>
      </c>
      <c r="J271" s="64" t="s">
        <v>31</v>
      </c>
      <c r="K271" s="64" t="s">
        <v>28</v>
      </c>
      <c r="L271" s="64">
        <v>2.4</v>
      </c>
      <c r="M271" s="66">
        <v>0.1578331717675299</v>
      </c>
      <c r="N271" s="64">
        <v>3079.76</v>
      </c>
      <c r="O271" s="64" t="s">
        <v>22</v>
      </c>
    </row>
    <row r="272" spans="1:15" x14ac:dyDescent="0.3">
      <c r="A272" s="64">
        <v>271</v>
      </c>
      <c r="B272" s="64">
        <v>6568</v>
      </c>
      <c r="C272" s="64" t="s">
        <v>34</v>
      </c>
      <c r="D272" s="64" t="s">
        <v>20</v>
      </c>
      <c r="E272" s="64">
        <v>30372</v>
      </c>
      <c r="F272" s="64">
        <v>1</v>
      </c>
      <c r="G272" s="64">
        <v>30372</v>
      </c>
      <c r="H272" s="65">
        <v>45346</v>
      </c>
      <c r="I272" s="64" t="s">
        <v>30</v>
      </c>
      <c r="J272" s="64" t="s">
        <v>27</v>
      </c>
      <c r="K272" s="64" t="s">
        <v>24</v>
      </c>
      <c r="L272" s="64">
        <v>3.8</v>
      </c>
      <c r="M272" s="66">
        <v>6.1592914526537604E-2</v>
      </c>
      <c r="N272" s="64">
        <v>7240.9</v>
      </c>
      <c r="O272" s="64" t="s">
        <v>22</v>
      </c>
    </row>
    <row r="273" spans="1:15" x14ac:dyDescent="0.3">
      <c r="A273" s="64">
        <v>272</v>
      </c>
      <c r="B273" s="64">
        <v>3238</v>
      </c>
      <c r="C273" s="64" t="s">
        <v>34</v>
      </c>
      <c r="D273" s="64" t="s">
        <v>20</v>
      </c>
      <c r="E273" s="64">
        <v>25117</v>
      </c>
      <c r="F273" s="64">
        <v>1</v>
      </c>
      <c r="G273" s="64">
        <v>25117</v>
      </c>
      <c r="H273" s="65">
        <v>45443</v>
      </c>
      <c r="I273" s="64" t="s">
        <v>15</v>
      </c>
      <c r="J273" s="64" t="s">
        <v>35</v>
      </c>
      <c r="K273" s="64" t="s">
        <v>17</v>
      </c>
      <c r="L273" s="64">
        <v>4.5999999999999996</v>
      </c>
      <c r="M273" s="66">
        <v>7.7411713182306802E-2</v>
      </c>
      <c r="N273" s="64">
        <v>5590.75</v>
      </c>
      <c r="O273" s="64" t="s">
        <v>22</v>
      </c>
    </row>
    <row r="274" spans="1:15" x14ac:dyDescent="0.3">
      <c r="A274" s="64">
        <v>273</v>
      </c>
      <c r="B274" s="64">
        <v>5302</v>
      </c>
      <c r="C274" s="64" t="s">
        <v>13</v>
      </c>
      <c r="D274" s="64" t="s">
        <v>20</v>
      </c>
      <c r="E274" s="64">
        <v>5301</v>
      </c>
      <c r="F274" s="64">
        <v>5</v>
      </c>
      <c r="G274" s="64">
        <v>26505</v>
      </c>
      <c r="H274" s="65">
        <v>45650</v>
      </c>
      <c r="I274" s="64" t="s">
        <v>15</v>
      </c>
      <c r="J274" s="64" t="s">
        <v>31</v>
      </c>
      <c r="K274" s="64" t="s">
        <v>24</v>
      </c>
      <c r="L274" s="64">
        <v>4.3</v>
      </c>
      <c r="M274" s="66">
        <v>9.6180343331446899E-2</v>
      </c>
      <c r="N274" s="64">
        <v>5402.24</v>
      </c>
      <c r="O274" s="64" t="s">
        <v>18</v>
      </c>
    </row>
    <row r="275" spans="1:15" x14ac:dyDescent="0.3">
      <c r="A275" s="64">
        <v>274</v>
      </c>
      <c r="B275" s="64">
        <v>2985</v>
      </c>
      <c r="C275" s="64" t="s">
        <v>13</v>
      </c>
      <c r="D275" s="64" t="s">
        <v>14</v>
      </c>
      <c r="E275" s="64">
        <v>46840</v>
      </c>
      <c r="F275" s="64">
        <v>5</v>
      </c>
      <c r="G275" s="64">
        <v>234200</v>
      </c>
      <c r="H275" s="65">
        <v>45406</v>
      </c>
      <c r="I275" s="64" t="s">
        <v>15</v>
      </c>
      <c r="J275" s="64" t="s">
        <v>21</v>
      </c>
      <c r="K275" s="64" t="s">
        <v>24</v>
      </c>
      <c r="L275" s="64">
        <v>3</v>
      </c>
      <c r="M275" s="66">
        <v>0.20096187019641332</v>
      </c>
      <c r="N275" s="64">
        <v>23194.73</v>
      </c>
      <c r="O275" s="64" t="s">
        <v>18</v>
      </c>
    </row>
    <row r="276" spans="1:15" x14ac:dyDescent="0.3">
      <c r="A276" s="64">
        <v>275</v>
      </c>
      <c r="B276" s="64">
        <v>2702</v>
      </c>
      <c r="C276" s="64" t="s">
        <v>34</v>
      </c>
      <c r="D276" s="64" t="s">
        <v>25</v>
      </c>
      <c r="E276" s="64">
        <v>43197</v>
      </c>
      <c r="F276" s="64">
        <v>3</v>
      </c>
      <c r="G276" s="64">
        <v>129591</v>
      </c>
      <c r="H276" s="65">
        <v>45515</v>
      </c>
      <c r="I276" s="64" t="s">
        <v>30</v>
      </c>
      <c r="J276" s="64" t="s">
        <v>21</v>
      </c>
      <c r="K276" s="64" t="s">
        <v>17</v>
      </c>
      <c r="L276" s="64">
        <v>1.7</v>
      </c>
      <c r="M276" s="66">
        <v>0.13967227662414827</v>
      </c>
      <c r="N276" s="64">
        <v>20777.03</v>
      </c>
      <c r="O276" s="64" t="s">
        <v>18</v>
      </c>
    </row>
    <row r="277" spans="1:15" x14ac:dyDescent="0.3">
      <c r="A277" s="64">
        <v>276</v>
      </c>
      <c r="B277" s="64">
        <v>7871</v>
      </c>
      <c r="C277" s="64" t="s">
        <v>32</v>
      </c>
      <c r="D277" s="64" t="s">
        <v>25</v>
      </c>
      <c r="E277" s="64">
        <v>27830</v>
      </c>
      <c r="F277" s="64">
        <v>5</v>
      </c>
      <c r="G277" s="64">
        <v>139150</v>
      </c>
      <c r="H277" s="65">
        <v>45344</v>
      </c>
      <c r="I277" s="64" t="s">
        <v>15</v>
      </c>
      <c r="J277" s="64" t="s">
        <v>16</v>
      </c>
      <c r="K277" s="64" t="s">
        <v>24</v>
      </c>
      <c r="L277" s="64">
        <v>3.1</v>
      </c>
      <c r="M277" s="66">
        <v>0.22993309378368665</v>
      </c>
      <c r="N277" s="64">
        <v>9749.81</v>
      </c>
      <c r="O277" s="64" t="s">
        <v>18</v>
      </c>
    </row>
    <row r="278" spans="1:15" x14ac:dyDescent="0.3">
      <c r="A278" s="64">
        <v>277</v>
      </c>
      <c r="B278" s="64">
        <v>7908</v>
      </c>
      <c r="C278" s="64" t="s">
        <v>13</v>
      </c>
      <c r="D278" s="64" t="s">
        <v>25</v>
      </c>
      <c r="E278" s="64">
        <v>4258</v>
      </c>
      <c r="F278" s="64">
        <v>4</v>
      </c>
      <c r="G278" s="64">
        <v>17032</v>
      </c>
      <c r="H278" s="65">
        <v>45293</v>
      </c>
      <c r="I278" s="64" t="s">
        <v>15</v>
      </c>
      <c r="J278" s="64" t="s">
        <v>35</v>
      </c>
      <c r="K278" s="64" t="s">
        <v>17</v>
      </c>
      <c r="L278" s="64">
        <v>4.4000000000000004</v>
      </c>
      <c r="M278" s="66">
        <v>0.19769727571629872</v>
      </c>
      <c r="N278" s="64">
        <v>1742.42</v>
      </c>
      <c r="O278" s="64" t="s">
        <v>22</v>
      </c>
    </row>
    <row r="279" spans="1:15" x14ac:dyDescent="0.3">
      <c r="A279" s="64">
        <v>278</v>
      </c>
      <c r="B279" s="64">
        <v>5555</v>
      </c>
      <c r="C279" s="64" t="s">
        <v>32</v>
      </c>
      <c r="D279" s="64" t="s">
        <v>25</v>
      </c>
      <c r="E279" s="64">
        <v>8140</v>
      </c>
      <c r="F279" s="64">
        <v>1</v>
      </c>
      <c r="G279" s="64">
        <v>8140</v>
      </c>
      <c r="H279" s="65">
        <v>45590</v>
      </c>
      <c r="I279" s="64" t="s">
        <v>15</v>
      </c>
      <c r="J279" s="64" t="s">
        <v>16</v>
      </c>
      <c r="K279" s="64" t="s">
        <v>28</v>
      </c>
      <c r="L279" s="64">
        <v>2.8</v>
      </c>
      <c r="M279" s="66">
        <v>0.10111793611793612</v>
      </c>
      <c r="N279" s="64">
        <v>1618.9</v>
      </c>
      <c r="O279" s="64" t="s">
        <v>18</v>
      </c>
    </row>
    <row r="280" spans="1:15" x14ac:dyDescent="0.3">
      <c r="A280" s="64">
        <v>279</v>
      </c>
      <c r="B280" s="64">
        <v>7428</v>
      </c>
      <c r="C280" s="64" t="s">
        <v>34</v>
      </c>
      <c r="D280" s="64" t="s">
        <v>20</v>
      </c>
      <c r="E280" s="64">
        <v>18666</v>
      </c>
      <c r="F280" s="64">
        <v>3</v>
      </c>
      <c r="G280" s="64">
        <v>55998</v>
      </c>
      <c r="H280" s="65">
        <v>45517</v>
      </c>
      <c r="I280" s="64" t="s">
        <v>33</v>
      </c>
      <c r="J280" s="64" t="s">
        <v>27</v>
      </c>
      <c r="K280" s="64" t="s">
        <v>24</v>
      </c>
      <c r="L280" s="64">
        <v>4.9000000000000004</v>
      </c>
      <c r="M280" s="66">
        <v>0.11627968856030572</v>
      </c>
      <c r="N280" s="64">
        <v>10287.969999999999</v>
      </c>
      <c r="O280" s="64" t="s">
        <v>22</v>
      </c>
    </row>
    <row r="281" spans="1:15" x14ac:dyDescent="0.3">
      <c r="A281" s="64">
        <v>280</v>
      </c>
      <c r="B281" s="64">
        <v>4700</v>
      </c>
      <c r="C281" s="64" t="s">
        <v>34</v>
      </c>
      <c r="D281" s="64" t="s">
        <v>20</v>
      </c>
      <c r="E281" s="64">
        <v>15265</v>
      </c>
      <c r="F281" s="64">
        <v>3</v>
      </c>
      <c r="G281" s="64">
        <v>45795</v>
      </c>
      <c r="H281" s="65">
        <v>45496</v>
      </c>
      <c r="I281" s="64" t="s">
        <v>30</v>
      </c>
      <c r="J281" s="64" t="s">
        <v>27</v>
      </c>
      <c r="K281" s="64" t="s">
        <v>24</v>
      </c>
      <c r="L281" s="64">
        <v>4.7</v>
      </c>
      <c r="M281" s="66">
        <v>0.26600589584015721</v>
      </c>
      <c r="N281" s="64">
        <v>1556.76</v>
      </c>
      <c r="O281" s="64" t="s">
        <v>18</v>
      </c>
    </row>
    <row r="282" spans="1:15" x14ac:dyDescent="0.3">
      <c r="A282" s="64">
        <v>281</v>
      </c>
      <c r="B282" s="64">
        <v>1919</v>
      </c>
      <c r="C282" s="64" t="s">
        <v>34</v>
      </c>
      <c r="D282" s="64" t="s">
        <v>14</v>
      </c>
      <c r="E282" s="64">
        <v>48061</v>
      </c>
      <c r="F282" s="64">
        <v>3</v>
      </c>
      <c r="G282" s="64">
        <v>144183</v>
      </c>
      <c r="H282" s="65">
        <v>45460</v>
      </c>
      <c r="I282" s="64" t="s">
        <v>15</v>
      </c>
      <c r="J282" s="64" t="s">
        <v>35</v>
      </c>
      <c r="K282" s="64" t="s">
        <v>17</v>
      </c>
      <c r="L282" s="64">
        <v>4.3</v>
      </c>
      <c r="M282" s="66">
        <v>6.8364786417261403E-2</v>
      </c>
      <c r="N282" s="64">
        <v>33397.86</v>
      </c>
      <c r="O282" s="64" t="s">
        <v>18</v>
      </c>
    </row>
    <row r="283" spans="1:15" x14ac:dyDescent="0.3">
      <c r="A283" s="64">
        <v>282</v>
      </c>
      <c r="B283" s="64">
        <v>2245</v>
      </c>
      <c r="C283" s="64" t="s">
        <v>23</v>
      </c>
      <c r="D283" s="64" t="s">
        <v>20</v>
      </c>
      <c r="E283" s="64">
        <v>5983</v>
      </c>
      <c r="F283" s="64">
        <v>2</v>
      </c>
      <c r="G283" s="64">
        <v>11966</v>
      </c>
      <c r="H283" s="65">
        <v>45605</v>
      </c>
      <c r="I283" s="64" t="s">
        <v>33</v>
      </c>
      <c r="J283" s="64" t="s">
        <v>35</v>
      </c>
      <c r="K283" s="64" t="s">
        <v>28</v>
      </c>
      <c r="L283" s="64">
        <v>1.5</v>
      </c>
      <c r="M283" s="66">
        <v>0.24456877820491393</v>
      </c>
      <c r="N283" s="64">
        <v>663.29</v>
      </c>
      <c r="O283" s="64" t="s">
        <v>18</v>
      </c>
    </row>
    <row r="284" spans="1:15" x14ac:dyDescent="0.3">
      <c r="A284" s="64">
        <v>283</v>
      </c>
      <c r="B284" s="64">
        <v>4525</v>
      </c>
      <c r="C284" s="64" t="s">
        <v>34</v>
      </c>
      <c r="D284" s="64" t="s">
        <v>14</v>
      </c>
      <c r="E284" s="64">
        <v>13761</v>
      </c>
      <c r="F284" s="64">
        <v>4</v>
      </c>
      <c r="G284" s="64">
        <v>55044</v>
      </c>
      <c r="H284" s="65">
        <v>45344</v>
      </c>
      <c r="I284" s="64" t="s">
        <v>26</v>
      </c>
      <c r="J284" s="64" t="s">
        <v>27</v>
      </c>
      <c r="K284" s="64" t="s">
        <v>24</v>
      </c>
      <c r="L284" s="64">
        <v>3</v>
      </c>
      <c r="M284" s="66">
        <v>0.24395138434706778</v>
      </c>
      <c r="N284" s="64">
        <v>3085.14</v>
      </c>
      <c r="O284" s="64" t="s">
        <v>18</v>
      </c>
    </row>
    <row r="285" spans="1:15" x14ac:dyDescent="0.3">
      <c r="A285" s="64">
        <v>284</v>
      </c>
      <c r="B285" s="64">
        <v>2811</v>
      </c>
      <c r="C285" s="64" t="s">
        <v>34</v>
      </c>
      <c r="D285" s="64" t="s">
        <v>14</v>
      </c>
      <c r="E285" s="64">
        <v>38932</v>
      </c>
      <c r="F285" s="64">
        <v>4</v>
      </c>
      <c r="G285" s="64">
        <v>155728</v>
      </c>
      <c r="H285" s="65">
        <v>45407</v>
      </c>
      <c r="I285" s="64" t="s">
        <v>15</v>
      </c>
      <c r="J285" s="64" t="s">
        <v>35</v>
      </c>
      <c r="K285" s="64" t="s">
        <v>17</v>
      </c>
      <c r="L285" s="64">
        <v>1.8</v>
      </c>
      <c r="M285" s="66">
        <v>0.29387220024658378</v>
      </c>
      <c r="N285" s="64">
        <v>954.27</v>
      </c>
      <c r="O285" s="64" t="s">
        <v>22</v>
      </c>
    </row>
    <row r="286" spans="1:15" x14ac:dyDescent="0.3">
      <c r="A286" s="64">
        <v>285</v>
      </c>
      <c r="B286" s="64">
        <v>9086</v>
      </c>
      <c r="C286" s="64" t="s">
        <v>23</v>
      </c>
      <c r="D286" s="64" t="s">
        <v>20</v>
      </c>
      <c r="E286" s="64">
        <v>32924</v>
      </c>
      <c r="F286" s="64">
        <v>4</v>
      </c>
      <c r="G286" s="64">
        <v>131696</v>
      </c>
      <c r="H286" s="65">
        <v>45338</v>
      </c>
      <c r="I286" s="64" t="s">
        <v>30</v>
      </c>
      <c r="J286" s="64" t="s">
        <v>27</v>
      </c>
      <c r="K286" s="64" t="s">
        <v>28</v>
      </c>
      <c r="L286" s="64">
        <v>4.2</v>
      </c>
      <c r="M286" s="66">
        <v>0.23395441015672458</v>
      </c>
      <c r="N286" s="64">
        <v>8697.94</v>
      </c>
      <c r="O286" s="64" t="s">
        <v>22</v>
      </c>
    </row>
    <row r="287" spans="1:15" x14ac:dyDescent="0.3">
      <c r="A287" s="64">
        <v>286</v>
      </c>
      <c r="B287" s="64">
        <v>8115</v>
      </c>
      <c r="C287" s="64" t="s">
        <v>29</v>
      </c>
      <c r="D287" s="64" t="s">
        <v>20</v>
      </c>
      <c r="E287" s="64">
        <v>22748</v>
      </c>
      <c r="F287" s="64">
        <v>3</v>
      </c>
      <c r="G287" s="64">
        <v>68244</v>
      </c>
      <c r="H287" s="65">
        <v>45378</v>
      </c>
      <c r="I287" s="64" t="s">
        <v>15</v>
      </c>
      <c r="J287" s="64" t="s">
        <v>35</v>
      </c>
      <c r="K287" s="64" t="s">
        <v>17</v>
      </c>
      <c r="L287" s="64">
        <v>3.9</v>
      </c>
      <c r="M287" s="66">
        <v>5.322504542523885E-2</v>
      </c>
      <c r="N287" s="64">
        <v>16840.91</v>
      </c>
      <c r="O287" s="64" t="s">
        <v>22</v>
      </c>
    </row>
    <row r="288" spans="1:15" x14ac:dyDescent="0.3">
      <c r="A288" s="64">
        <v>287</v>
      </c>
      <c r="B288" s="64">
        <v>5806</v>
      </c>
      <c r="C288" s="64" t="s">
        <v>34</v>
      </c>
      <c r="D288" s="64" t="s">
        <v>14</v>
      </c>
      <c r="E288" s="64">
        <v>48263</v>
      </c>
      <c r="F288" s="64">
        <v>3</v>
      </c>
      <c r="G288" s="64">
        <v>144789</v>
      </c>
      <c r="H288" s="65">
        <v>45444</v>
      </c>
      <c r="I288" s="64" t="s">
        <v>33</v>
      </c>
      <c r="J288" s="64" t="s">
        <v>31</v>
      </c>
      <c r="K288" s="64" t="s">
        <v>17</v>
      </c>
      <c r="L288" s="64">
        <v>2.1</v>
      </c>
      <c r="M288" s="66">
        <v>0.25477895420232199</v>
      </c>
      <c r="N288" s="64">
        <v>6547.51</v>
      </c>
      <c r="O288" s="64" t="s">
        <v>22</v>
      </c>
    </row>
    <row r="289" spans="1:15" x14ac:dyDescent="0.3">
      <c r="A289" s="64">
        <v>288</v>
      </c>
      <c r="B289" s="64">
        <v>5849</v>
      </c>
      <c r="C289" s="64" t="s">
        <v>13</v>
      </c>
      <c r="D289" s="64" t="s">
        <v>25</v>
      </c>
      <c r="E289" s="64">
        <v>29897</v>
      </c>
      <c r="F289" s="64">
        <v>5</v>
      </c>
      <c r="G289" s="64">
        <v>149485</v>
      </c>
      <c r="H289" s="65">
        <v>45471</v>
      </c>
      <c r="I289" s="64" t="s">
        <v>26</v>
      </c>
      <c r="J289" s="64" t="s">
        <v>27</v>
      </c>
      <c r="K289" s="64" t="s">
        <v>28</v>
      </c>
      <c r="L289" s="64">
        <v>3</v>
      </c>
      <c r="M289" s="66">
        <v>0.13541793490985718</v>
      </c>
      <c r="N289" s="64">
        <v>24602.55</v>
      </c>
      <c r="O289" s="64" t="s">
        <v>22</v>
      </c>
    </row>
    <row r="290" spans="1:15" x14ac:dyDescent="0.3">
      <c r="A290" s="64">
        <v>289</v>
      </c>
      <c r="B290" s="64">
        <v>1780</v>
      </c>
      <c r="C290" s="64" t="s">
        <v>29</v>
      </c>
      <c r="D290" s="64" t="s">
        <v>25</v>
      </c>
      <c r="E290" s="64">
        <v>8713</v>
      </c>
      <c r="F290" s="64">
        <v>4</v>
      </c>
      <c r="G290" s="64">
        <v>34852</v>
      </c>
      <c r="H290" s="65">
        <v>45432</v>
      </c>
      <c r="I290" s="64" t="s">
        <v>30</v>
      </c>
      <c r="J290" s="64" t="s">
        <v>21</v>
      </c>
      <c r="K290" s="64" t="s">
        <v>24</v>
      </c>
      <c r="L290" s="64">
        <v>3.5</v>
      </c>
      <c r="M290" s="66">
        <v>0.11197434867439458</v>
      </c>
      <c r="N290" s="64">
        <v>6553.07</v>
      </c>
      <c r="O290" s="64" t="s">
        <v>18</v>
      </c>
    </row>
    <row r="291" spans="1:15" x14ac:dyDescent="0.3">
      <c r="A291" s="64">
        <v>290</v>
      </c>
      <c r="B291" s="64">
        <v>9293</v>
      </c>
      <c r="C291" s="64" t="s">
        <v>34</v>
      </c>
      <c r="D291" s="64" t="s">
        <v>25</v>
      </c>
      <c r="E291" s="64">
        <v>41002</v>
      </c>
      <c r="F291" s="64">
        <v>3</v>
      </c>
      <c r="G291" s="64">
        <v>123006</v>
      </c>
      <c r="H291" s="65">
        <v>45648</v>
      </c>
      <c r="I291" s="64" t="s">
        <v>33</v>
      </c>
      <c r="J291" s="64" t="s">
        <v>35</v>
      </c>
      <c r="K291" s="64" t="s">
        <v>24</v>
      </c>
      <c r="L291" s="64">
        <v>3.1</v>
      </c>
      <c r="M291" s="66">
        <v>7.6343267808074405E-2</v>
      </c>
      <c r="N291" s="64">
        <v>27511.119999999999</v>
      </c>
      <c r="O291" s="64" t="s">
        <v>18</v>
      </c>
    </row>
    <row r="292" spans="1:15" x14ac:dyDescent="0.3">
      <c r="A292" s="64">
        <v>291</v>
      </c>
      <c r="B292" s="64">
        <v>6961</v>
      </c>
      <c r="C292" s="64" t="s">
        <v>23</v>
      </c>
      <c r="D292" s="64" t="s">
        <v>14</v>
      </c>
      <c r="E292" s="64">
        <v>44991</v>
      </c>
      <c r="F292" s="64">
        <v>5</v>
      </c>
      <c r="G292" s="64">
        <v>224955</v>
      </c>
      <c r="H292" s="65">
        <v>45518</v>
      </c>
      <c r="I292" s="64" t="s">
        <v>30</v>
      </c>
      <c r="J292" s="64" t="s">
        <v>35</v>
      </c>
      <c r="K292" s="64" t="s">
        <v>28</v>
      </c>
      <c r="L292" s="64">
        <v>2.1</v>
      </c>
      <c r="M292" s="66">
        <v>0.2496608210530995</v>
      </c>
      <c r="N292" s="64">
        <v>11324.05</v>
      </c>
      <c r="O292" s="64" t="s">
        <v>18</v>
      </c>
    </row>
    <row r="293" spans="1:15" x14ac:dyDescent="0.3">
      <c r="A293" s="64">
        <v>292</v>
      </c>
      <c r="B293" s="64">
        <v>2070</v>
      </c>
      <c r="C293" s="64" t="s">
        <v>19</v>
      </c>
      <c r="D293" s="64" t="s">
        <v>20</v>
      </c>
      <c r="E293" s="64">
        <v>32807</v>
      </c>
      <c r="F293" s="64">
        <v>5</v>
      </c>
      <c r="G293" s="64">
        <v>164035</v>
      </c>
      <c r="H293" s="65">
        <v>45656</v>
      </c>
      <c r="I293" s="64" t="s">
        <v>30</v>
      </c>
      <c r="J293" s="64" t="s">
        <v>27</v>
      </c>
      <c r="K293" s="64" t="s">
        <v>24</v>
      </c>
      <c r="L293" s="64">
        <v>3.6</v>
      </c>
      <c r="M293" s="66">
        <v>0.22704075349772912</v>
      </c>
      <c r="N293" s="64">
        <v>11967.87</v>
      </c>
      <c r="O293" s="64" t="s">
        <v>22</v>
      </c>
    </row>
    <row r="294" spans="1:15" x14ac:dyDescent="0.3">
      <c r="A294" s="64">
        <v>293</v>
      </c>
      <c r="B294" s="64">
        <v>8783</v>
      </c>
      <c r="C294" s="64" t="s">
        <v>13</v>
      </c>
      <c r="D294" s="64" t="s">
        <v>25</v>
      </c>
      <c r="E294" s="64">
        <v>6886</v>
      </c>
      <c r="F294" s="64">
        <v>5</v>
      </c>
      <c r="G294" s="64">
        <v>34430</v>
      </c>
      <c r="H294" s="65">
        <v>45293</v>
      </c>
      <c r="I294" s="64" t="s">
        <v>33</v>
      </c>
      <c r="J294" s="64" t="s">
        <v>27</v>
      </c>
      <c r="K294" s="64" t="s">
        <v>17</v>
      </c>
      <c r="L294" s="64">
        <v>4.3</v>
      </c>
      <c r="M294" s="66">
        <v>8.8881208248620391E-2</v>
      </c>
      <c r="N294" s="64">
        <v>7268.82</v>
      </c>
      <c r="O294" s="64" t="s">
        <v>18</v>
      </c>
    </row>
    <row r="295" spans="1:15" x14ac:dyDescent="0.3">
      <c r="A295" s="64">
        <v>294</v>
      </c>
      <c r="B295" s="64">
        <v>9441</v>
      </c>
      <c r="C295" s="64" t="s">
        <v>34</v>
      </c>
      <c r="D295" s="64" t="s">
        <v>14</v>
      </c>
      <c r="E295" s="64">
        <v>21300</v>
      </c>
      <c r="F295" s="64">
        <v>4</v>
      </c>
      <c r="G295" s="64">
        <v>85200</v>
      </c>
      <c r="H295" s="65">
        <v>45540</v>
      </c>
      <c r="I295" s="64" t="s">
        <v>26</v>
      </c>
      <c r="J295" s="64" t="s">
        <v>31</v>
      </c>
      <c r="K295" s="64" t="s">
        <v>17</v>
      </c>
      <c r="L295" s="64">
        <v>3</v>
      </c>
      <c r="M295" s="66">
        <v>5.9888262910798115E-2</v>
      </c>
      <c r="N295" s="64">
        <v>20457.52</v>
      </c>
      <c r="O295" s="64" t="s">
        <v>18</v>
      </c>
    </row>
    <row r="296" spans="1:15" x14ac:dyDescent="0.3">
      <c r="A296" s="64">
        <v>295</v>
      </c>
      <c r="B296" s="64">
        <v>4720</v>
      </c>
      <c r="C296" s="64" t="s">
        <v>32</v>
      </c>
      <c r="D296" s="64" t="s">
        <v>25</v>
      </c>
      <c r="E296" s="64">
        <v>36852</v>
      </c>
      <c r="F296" s="64">
        <v>3</v>
      </c>
      <c r="G296" s="64">
        <v>110556</v>
      </c>
      <c r="H296" s="65">
        <v>45535</v>
      </c>
      <c r="I296" s="64" t="s">
        <v>15</v>
      </c>
      <c r="J296" s="64" t="s">
        <v>16</v>
      </c>
      <c r="K296" s="64" t="s">
        <v>24</v>
      </c>
      <c r="L296" s="64">
        <v>4</v>
      </c>
      <c r="M296" s="66">
        <v>0.25368238720648362</v>
      </c>
      <c r="N296" s="64">
        <v>5120.6899999999996</v>
      </c>
      <c r="O296" s="64" t="s">
        <v>22</v>
      </c>
    </row>
    <row r="297" spans="1:15" x14ac:dyDescent="0.3">
      <c r="A297" s="64">
        <v>296</v>
      </c>
      <c r="B297" s="64">
        <v>4041</v>
      </c>
      <c r="C297" s="64" t="s">
        <v>32</v>
      </c>
      <c r="D297" s="64" t="s">
        <v>25</v>
      </c>
      <c r="E297" s="64">
        <v>6161</v>
      </c>
      <c r="F297" s="64">
        <v>2</v>
      </c>
      <c r="G297" s="64">
        <v>12322</v>
      </c>
      <c r="H297" s="65">
        <v>45487</v>
      </c>
      <c r="I297" s="64" t="s">
        <v>30</v>
      </c>
      <c r="J297" s="64" t="s">
        <v>27</v>
      </c>
      <c r="K297" s="64" t="s">
        <v>24</v>
      </c>
      <c r="L297" s="64">
        <v>3.4</v>
      </c>
      <c r="M297" s="66">
        <v>0.15179435156630416</v>
      </c>
      <c r="N297" s="64">
        <v>1826.19</v>
      </c>
      <c r="O297" s="64" t="s">
        <v>22</v>
      </c>
    </row>
    <row r="298" spans="1:15" x14ac:dyDescent="0.3">
      <c r="A298" s="64">
        <v>297</v>
      </c>
      <c r="B298" s="64">
        <v>2484</v>
      </c>
      <c r="C298" s="64" t="s">
        <v>34</v>
      </c>
      <c r="D298" s="64" t="s">
        <v>14</v>
      </c>
      <c r="E298" s="64">
        <v>2793</v>
      </c>
      <c r="F298" s="64">
        <v>1</v>
      </c>
      <c r="G298" s="64">
        <v>2793</v>
      </c>
      <c r="H298" s="65">
        <v>45471</v>
      </c>
      <c r="I298" s="64" t="s">
        <v>15</v>
      </c>
      <c r="J298" s="64" t="s">
        <v>35</v>
      </c>
      <c r="K298" s="64" t="s">
        <v>24</v>
      </c>
      <c r="L298" s="64">
        <v>3.4</v>
      </c>
      <c r="M298" s="66">
        <v>6.6652345148585743E-2</v>
      </c>
      <c r="N298" s="64">
        <v>651.74</v>
      </c>
      <c r="O298" s="64" t="s">
        <v>18</v>
      </c>
    </row>
    <row r="299" spans="1:15" x14ac:dyDescent="0.3">
      <c r="A299" s="64">
        <v>298</v>
      </c>
      <c r="B299" s="64">
        <v>1610</v>
      </c>
      <c r="C299" s="64" t="s">
        <v>32</v>
      </c>
      <c r="D299" s="64" t="s">
        <v>20</v>
      </c>
      <c r="E299" s="64">
        <v>49571</v>
      </c>
      <c r="F299" s="64">
        <v>2</v>
      </c>
      <c r="G299" s="64">
        <v>99142</v>
      </c>
      <c r="H299" s="65">
        <v>45434</v>
      </c>
      <c r="I299" s="64" t="s">
        <v>26</v>
      </c>
      <c r="J299" s="64" t="s">
        <v>27</v>
      </c>
      <c r="K299" s="64" t="s">
        <v>28</v>
      </c>
      <c r="L299" s="64">
        <v>4</v>
      </c>
      <c r="M299" s="66">
        <v>0.12490548909644751</v>
      </c>
      <c r="N299" s="64">
        <v>17359.22</v>
      </c>
      <c r="O299" s="64" t="s">
        <v>18</v>
      </c>
    </row>
    <row r="300" spans="1:15" x14ac:dyDescent="0.3">
      <c r="A300" s="64">
        <v>299</v>
      </c>
      <c r="B300" s="64">
        <v>9459</v>
      </c>
      <c r="C300" s="64" t="s">
        <v>23</v>
      </c>
      <c r="D300" s="64" t="s">
        <v>25</v>
      </c>
      <c r="E300" s="64">
        <v>28692</v>
      </c>
      <c r="F300" s="64">
        <v>5</v>
      </c>
      <c r="G300" s="64">
        <v>143460</v>
      </c>
      <c r="H300" s="65">
        <v>45329</v>
      </c>
      <c r="I300" s="64" t="s">
        <v>30</v>
      </c>
      <c r="J300" s="64" t="s">
        <v>31</v>
      </c>
      <c r="K300" s="64" t="s">
        <v>24</v>
      </c>
      <c r="L300" s="64">
        <v>4.0999999999999996</v>
      </c>
      <c r="M300" s="66">
        <v>0.19328140248152798</v>
      </c>
      <c r="N300" s="64">
        <v>15309.85</v>
      </c>
      <c r="O300" s="64" t="s">
        <v>22</v>
      </c>
    </row>
    <row r="301" spans="1:15" x14ac:dyDescent="0.3">
      <c r="A301" s="64">
        <v>300</v>
      </c>
      <c r="B301" s="64">
        <v>9445</v>
      </c>
      <c r="C301" s="64" t="s">
        <v>19</v>
      </c>
      <c r="D301" s="64" t="s">
        <v>25</v>
      </c>
      <c r="E301" s="64">
        <v>20260</v>
      </c>
      <c r="F301" s="64">
        <v>5</v>
      </c>
      <c r="G301" s="64">
        <v>101300</v>
      </c>
      <c r="H301" s="65">
        <v>45326</v>
      </c>
      <c r="I301" s="64" t="s">
        <v>33</v>
      </c>
      <c r="J301" s="64" t="s">
        <v>21</v>
      </c>
      <c r="K301" s="64" t="s">
        <v>17</v>
      </c>
      <c r="L301" s="64">
        <v>1.6</v>
      </c>
      <c r="M301" s="66">
        <v>0.2872222112537019</v>
      </c>
      <c r="N301" s="64">
        <v>1294.3900000000001</v>
      </c>
      <c r="O301" s="64" t="s">
        <v>22</v>
      </c>
    </row>
    <row r="302" spans="1:15" x14ac:dyDescent="0.3">
      <c r="A302" s="64">
        <v>301</v>
      </c>
      <c r="B302" s="64">
        <v>5004</v>
      </c>
      <c r="C302" s="64" t="s">
        <v>32</v>
      </c>
      <c r="D302" s="64" t="s">
        <v>25</v>
      </c>
      <c r="E302" s="64">
        <v>47552</v>
      </c>
      <c r="F302" s="64">
        <v>4</v>
      </c>
      <c r="G302" s="64">
        <v>190208</v>
      </c>
      <c r="H302" s="65">
        <v>45609</v>
      </c>
      <c r="I302" s="64" t="s">
        <v>15</v>
      </c>
      <c r="J302" s="64" t="s">
        <v>31</v>
      </c>
      <c r="K302" s="64" t="s">
        <v>17</v>
      </c>
      <c r="L302" s="64">
        <v>2.2000000000000002</v>
      </c>
      <c r="M302" s="66">
        <v>5.1520861372812921E-2</v>
      </c>
      <c r="N302" s="64">
        <v>47262.720000000001</v>
      </c>
      <c r="O302" s="64" t="s">
        <v>18</v>
      </c>
    </row>
    <row r="303" spans="1:15" x14ac:dyDescent="0.3">
      <c r="A303" s="64">
        <v>302</v>
      </c>
      <c r="B303" s="64">
        <v>2317</v>
      </c>
      <c r="C303" s="64" t="s">
        <v>32</v>
      </c>
      <c r="D303" s="64" t="s">
        <v>14</v>
      </c>
      <c r="E303" s="64">
        <v>18081</v>
      </c>
      <c r="F303" s="64">
        <v>2</v>
      </c>
      <c r="G303" s="64">
        <v>36162</v>
      </c>
      <c r="H303" s="65">
        <v>45298</v>
      </c>
      <c r="I303" s="64" t="s">
        <v>33</v>
      </c>
      <c r="J303" s="64" t="s">
        <v>35</v>
      </c>
      <c r="K303" s="64" t="s">
        <v>28</v>
      </c>
      <c r="L303" s="64">
        <v>3.6</v>
      </c>
      <c r="M303" s="66">
        <v>0.10037553232675185</v>
      </c>
      <c r="N303" s="64">
        <v>7218.82</v>
      </c>
      <c r="O303" s="64" t="s">
        <v>18</v>
      </c>
    </row>
    <row r="304" spans="1:15" x14ac:dyDescent="0.3">
      <c r="A304" s="64">
        <v>303</v>
      </c>
      <c r="B304" s="64">
        <v>1223</v>
      </c>
      <c r="C304" s="64" t="s">
        <v>34</v>
      </c>
      <c r="D304" s="64" t="s">
        <v>20</v>
      </c>
      <c r="E304" s="64">
        <v>17225</v>
      </c>
      <c r="F304" s="64">
        <v>1</v>
      </c>
      <c r="G304" s="64">
        <v>17225</v>
      </c>
      <c r="H304" s="65">
        <v>45410</v>
      </c>
      <c r="I304" s="64" t="s">
        <v>30</v>
      </c>
      <c r="J304" s="64" t="s">
        <v>27</v>
      </c>
      <c r="K304" s="64" t="s">
        <v>24</v>
      </c>
      <c r="L304" s="64">
        <v>2.9</v>
      </c>
      <c r="M304" s="66">
        <v>0.28536487663280113</v>
      </c>
      <c r="N304" s="64">
        <v>252.09</v>
      </c>
      <c r="O304" s="64" t="s">
        <v>22</v>
      </c>
    </row>
    <row r="305" spans="1:15" x14ac:dyDescent="0.3">
      <c r="A305" s="64">
        <v>304</v>
      </c>
      <c r="B305" s="64">
        <v>7051</v>
      </c>
      <c r="C305" s="64" t="s">
        <v>34</v>
      </c>
      <c r="D305" s="64" t="s">
        <v>20</v>
      </c>
      <c r="E305" s="64">
        <v>8136</v>
      </c>
      <c r="F305" s="64">
        <v>5</v>
      </c>
      <c r="G305" s="64">
        <v>40680</v>
      </c>
      <c r="H305" s="65">
        <v>45569</v>
      </c>
      <c r="I305" s="64" t="s">
        <v>26</v>
      </c>
      <c r="J305" s="64" t="s">
        <v>31</v>
      </c>
      <c r="K305" s="64" t="s">
        <v>24</v>
      </c>
      <c r="L305" s="64">
        <v>2.2000000000000002</v>
      </c>
      <c r="M305" s="66">
        <v>0.1229972959685349</v>
      </c>
      <c r="N305" s="64">
        <v>7200.47</v>
      </c>
      <c r="O305" s="64" t="s">
        <v>18</v>
      </c>
    </row>
    <row r="306" spans="1:15" x14ac:dyDescent="0.3">
      <c r="A306" s="64">
        <v>305</v>
      </c>
      <c r="B306" s="64">
        <v>7769</v>
      </c>
      <c r="C306" s="64" t="s">
        <v>34</v>
      </c>
      <c r="D306" s="64" t="s">
        <v>14</v>
      </c>
      <c r="E306" s="64">
        <v>11118</v>
      </c>
      <c r="F306" s="64">
        <v>2</v>
      </c>
      <c r="G306" s="64">
        <v>22236</v>
      </c>
      <c r="H306" s="65">
        <v>45603</v>
      </c>
      <c r="I306" s="64" t="s">
        <v>33</v>
      </c>
      <c r="J306" s="64" t="s">
        <v>35</v>
      </c>
      <c r="K306" s="64" t="s">
        <v>24</v>
      </c>
      <c r="L306" s="64">
        <v>1.8</v>
      </c>
      <c r="M306" s="66">
        <v>0.17772306170174493</v>
      </c>
      <c r="N306" s="64">
        <v>2718.95</v>
      </c>
      <c r="O306" s="64" t="s">
        <v>22</v>
      </c>
    </row>
    <row r="307" spans="1:15" x14ac:dyDescent="0.3">
      <c r="A307" s="64">
        <v>306</v>
      </c>
      <c r="B307" s="64">
        <v>5778</v>
      </c>
      <c r="C307" s="64" t="s">
        <v>23</v>
      </c>
      <c r="D307" s="64" t="s">
        <v>14</v>
      </c>
      <c r="E307" s="64">
        <v>40169</v>
      </c>
      <c r="F307" s="64">
        <v>1</v>
      </c>
      <c r="G307" s="64">
        <v>40169</v>
      </c>
      <c r="H307" s="65">
        <v>45489</v>
      </c>
      <c r="I307" s="64" t="s">
        <v>33</v>
      </c>
      <c r="J307" s="64" t="s">
        <v>21</v>
      </c>
      <c r="K307" s="64" t="s">
        <v>17</v>
      </c>
      <c r="L307" s="64">
        <v>3.8</v>
      </c>
      <c r="M307" s="66">
        <v>0.2437536408673355</v>
      </c>
      <c r="N307" s="64">
        <v>2259.36</v>
      </c>
      <c r="O307" s="64" t="s">
        <v>18</v>
      </c>
    </row>
    <row r="308" spans="1:15" x14ac:dyDescent="0.3">
      <c r="A308" s="64">
        <v>307</v>
      </c>
      <c r="B308" s="64">
        <v>7211</v>
      </c>
      <c r="C308" s="64" t="s">
        <v>29</v>
      </c>
      <c r="D308" s="64" t="s">
        <v>14</v>
      </c>
      <c r="E308" s="64">
        <v>44705</v>
      </c>
      <c r="F308" s="64">
        <v>3</v>
      </c>
      <c r="G308" s="64">
        <v>134115</v>
      </c>
      <c r="H308" s="65">
        <v>45358</v>
      </c>
      <c r="I308" s="64" t="s">
        <v>15</v>
      </c>
      <c r="J308" s="64" t="s">
        <v>27</v>
      </c>
      <c r="K308" s="64" t="s">
        <v>17</v>
      </c>
      <c r="L308" s="64">
        <v>2.8</v>
      </c>
      <c r="M308" s="66">
        <v>0.2663261380158819</v>
      </c>
      <c r="N308" s="64">
        <v>4516.17</v>
      </c>
      <c r="O308" s="64" t="s">
        <v>22</v>
      </c>
    </row>
    <row r="309" spans="1:15" x14ac:dyDescent="0.3">
      <c r="A309" s="64">
        <v>308</v>
      </c>
      <c r="B309" s="64">
        <v>4120</v>
      </c>
      <c r="C309" s="64" t="s">
        <v>32</v>
      </c>
      <c r="D309" s="64" t="s">
        <v>25</v>
      </c>
      <c r="E309" s="64">
        <v>40693</v>
      </c>
      <c r="F309" s="64">
        <v>3</v>
      </c>
      <c r="G309" s="64">
        <v>122079</v>
      </c>
      <c r="H309" s="65">
        <v>45506</v>
      </c>
      <c r="I309" s="64" t="s">
        <v>33</v>
      </c>
      <c r="J309" s="64" t="s">
        <v>27</v>
      </c>
      <c r="K309" s="64" t="s">
        <v>24</v>
      </c>
      <c r="L309" s="64">
        <v>1.2</v>
      </c>
      <c r="M309" s="66">
        <v>0.23078547497931667</v>
      </c>
      <c r="N309" s="64">
        <v>8449.64</v>
      </c>
      <c r="O309" s="64" t="s">
        <v>22</v>
      </c>
    </row>
    <row r="310" spans="1:15" x14ac:dyDescent="0.3">
      <c r="A310" s="64">
        <v>309</v>
      </c>
      <c r="B310" s="64">
        <v>4466</v>
      </c>
      <c r="C310" s="64" t="s">
        <v>32</v>
      </c>
      <c r="D310" s="64" t="s">
        <v>25</v>
      </c>
      <c r="E310" s="64">
        <v>43405</v>
      </c>
      <c r="F310" s="64">
        <v>1</v>
      </c>
      <c r="G310" s="64">
        <v>43405</v>
      </c>
      <c r="H310" s="65">
        <v>45356</v>
      </c>
      <c r="I310" s="64" t="s">
        <v>15</v>
      </c>
      <c r="J310" s="64" t="s">
        <v>21</v>
      </c>
      <c r="K310" s="64" t="s">
        <v>28</v>
      </c>
      <c r="L310" s="64">
        <v>4</v>
      </c>
      <c r="M310" s="66">
        <v>0.16705517797488767</v>
      </c>
      <c r="N310" s="64">
        <v>5770.47</v>
      </c>
      <c r="O310" s="64" t="s">
        <v>18</v>
      </c>
    </row>
    <row r="311" spans="1:15" x14ac:dyDescent="0.3">
      <c r="A311" s="64">
        <v>310</v>
      </c>
      <c r="B311" s="64">
        <v>5489</v>
      </c>
      <c r="C311" s="64" t="s">
        <v>34</v>
      </c>
      <c r="D311" s="64" t="s">
        <v>20</v>
      </c>
      <c r="E311" s="64">
        <v>46336</v>
      </c>
      <c r="F311" s="64">
        <v>1</v>
      </c>
      <c r="G311" s="64">
        <v>46336</v>
      </c>
      <c r="H311" s="65">
        <v>45455</v>
      </c>
      <c r="I311" s="64" t="s">
        <v>15</v>
      </c>
      <c r="J311" s="64" t="s">
        <v>31</v>
      </c>
      <c r="K311" s="64" t="s">
        <v>24</v>
      </c>
      <c r="L311" s="64">
        <v>2.4</v>
      </c>
      <c r="M311" s="66">
        <v>0.15884603763812155</v>
      </c>
      <c r="N311" s="64">
        <v>6540.51</v>
      </c>
      <c r="O311" s="64" t="s">
        <v>18</v>
      </c>
    </row>
    <row r="312" spans="1:15" x14ac:dyDescent="0.3">
      <c r="A312" s="64">
        <v>311</v>
      </c>
      <c r="B312" s="64">
        <v>4036</v>
      </c>
      <c r="C312" s="64" t="s">
        <v>34</v>
      </c>
      <c r="D312" s="64" t="s">
        <v>20</v>
      </c>
      <c r="E312" s="64">
        <v>24085</v>
      </c>
      <c r="F312" s="64">
        <v>3</v>
      </c>
      <c r="G312" s="64">
        <v>72255</v>
      </c>
      <c r="H312" s="65">
        <v>45523</v>
      </c>
      <c r="I312" s="64" t="s">
        <v>30</v>
      </c>
      <c r="J312" s="64" t="s">
        <v>16</v>
      </c>
      <c r="K312" s="64" t="s">
        <v>28</v>
      </c>
      <c r="L312" s="64">
        <v>3.5</v>
      </c>
      <c r="M312" s="66">
        <v>0.16473558923257905</v>
      </c>
      <c r="N312" s="64">
        <v>9773.5300000000007</v>
      </c>
      <c r="O312" s="64" t="s">
        <v>18</v>
      </c>
    </row>
    <row r="313" spans="1:15" x14ac:dyDescent="0.3">
      <c r="A313" s="64">
        <v>312</v>
      </c>
      <c r="B313" s="64">
        <v>3242</v>
      </c>
      <c r="C313" s="64" t="s">
        <v>13</v>
      </c>
      <c r="D313" s="64" t="s">
        <v>14</v>
      </c>
      <c r="E313" s="64">
        <v>44661</v>
      </c>
      <c r="F313" s="64">
        <v>1</v>
      </c>
      <c r="G313" s="64">
        <v>44661</v>
      </c>
      <c r="H313" s="65">
        <v>45655</v>
      </c>
      <c r="I313" s="64" t="s">
        <v>26</v>
      </c>
      <c r="J313" s="64" t="s">
        <v>21</v>
      </c>
      <c r="K313" s="64" t="s">
        <v>17</v>
      </c>
      <c r="L313" s="64">
        <v>2.7</v>
      </c>
      <c r="M313" s="66">
        <v>0.20047401536015766</v>
      </c>
      <c r="N313" s="64">
        <v>4444.93</v>
      </c>
      <c r="O313" s="64" t="s">
        <v>18</v>
      </c>
    </row>
    <row r="314" spans="1:15" x14ac:dyDescent="0.3">
      <c r="A314" s="64">
        <v>313</v>
      </c>
      <c r="B314" s="64">
        <v>7392</v>
      </c>
      <c r="C314" s="64" t="s">
        <v>19</v>
      </c>
      <c r="D314" s="64" t="s">
        <v>20</v>
      </c>
      <c r="E314" s="64">
        <v>21315</v>
      </c>
      <c r="F314" s="64">
        <v>2</v>
      </c>
      <c r="G314" s="64">
        <v>42630</v>
      </c>
      <c r="H314" s="65">
        <v>45473</v>
      </c>
      <c r="I314" s="64" t="s">
        <v>30</v>
      </c>
      <c r="J314" s="64" t="s">
        <v>27</v>
      </c>
      <c r="K314" s="64" t="s">
        <v>17</v>
      </c>
      <c r="L314" s="64">
        <v>2.4</v>
      </c>
      <c r="M314" s="66">
        <v>5.0705840957072486E-2</v>
      </c>
      <c r="N314" s="64">
        <v>10627.41</v>
      </c>
      <c r="O314" s="64" t="s">
        <v>22</v>
      </c>
    </row>
    <row r="315" spans="1:15" x14ac:dyDescent="0.3">
      <c r="A315" s="64">
        <v>314</v>
      </c>
      <c r="B315" s="64">
        <v>5391</v>
      </c>
      <c r="C315" s="64" t="s">
        <v>34</v>
      </c>
      <c r="D315" s="64" t="s">
        <v>20</v>
      </c>
      <c r="E315" s="64">
        <v>26777</v>
      </c>
      <c r="F315" s="64">
        <v>5</v>
      </c>
      <c r="G315" s="64">
        <v>133885</v>
      </c>
      <c r="H315" s="65">
        <v>45622</v>
      </c>
      <c r="I315" s="64" t="s">
        <v>15</v>
      </c>
      <c r="J315" s="64" t="s">
        <v>31</v>
      </c>
      <c r="K315" s="64" t="s">
        <v>17</v>
      </c>
      <c r="L315" s="64">
        <v>4.8</v>
      </c>
      <c r="M315" s="66">
        <v>0.15154304066923105</v>
      </c>
      <c r="N315" s="64">
        <v>19876.16</v>
      </c>
      <c r="O315" s="64" t="s">
        <v>22</v>
      </c>
    </row>
    <row r="316" spans="1:15" x14ac:dyDescent="0.3">
      <c r="A316" s="64">
        <v>315</v>
      </c>
      <c r="B316" s="64">
        <v>9342</v>
      </c>
      <c r="C316" s="64" t="s">
        <v>34</v>
      </c>
      <c r="D316" s="64" t="s">
        <v>20</v>
      </c>
      <c r="E316" s="64">
        <v>46193</v>
      </c>
      <c r="F316" s="64">
        <v>3</v>
      </c>
      <c r="G316" s="64">
        <v>138579</v>
      </c>
      <c r="H316" s="65">
        <v>45611</v>
      </c>
      <c r="I316" s="64" t="s">
        <v>30</v>
      </c>
      <c r="J316" s="64" t="s">
        <v>21</v>
      </c>
      <c r="K316" s="64" t="s">
        <v>17</v>
      </c>
      <c r="L316" s="64">
        <v>2.2000000000000002</v>
      </c>
      <c r="M316" s="66">
        <v>7.1611283094841202E-2</v>
      </c>
      <c r="N316" s="64">
        <v>31649.88</v>
      </c>
      <c r="O316" s="64" t="s">
        <v>18</v>
      </c>
    </row>
    <row r="317" spans="1:15" x14ac:dyDescent="0.3">
      <c r="A317" s="64">
        <v>316</v>
      </c>
      <c r="B317" s="64">
        <v>1678</v>
      </c>
      <c r="C317" s="64" t="s">
        <v>34</v>
      </c>
      <c r="D317" s="64" t="s">
        <v>20</v>
      </c>
      <c r="E317" s="64">
        <v>40121</v>
      </c>
      <c r="F317" s="64">
        <v>1</v>
      </c>
      <c r="G317" s="64">
        <v>40121</v>
      </c>
      <c r="H317" s="65">
        <v>45292</v>
      </c>
      <c r="I317" s="64" t="s">
        <v>26</v>
      </c>
      <c r="J317" s="64" t="s">
        <v>27</v>
      </c>
      <c r="K317" s="64" t="s">
        <v>17</v>
      </c>
      <c r="L317" s="64">
        <v>4.4000000000000004</v>
      </c>
      <c r="M317" s="66">
        <v>0.23139951646270032</v>
      </c>
      <c r="N317" s="64">
        <v>2752.32</v>
      </c>
      <c r="O317" s="64" t="s">
        <v>18</v>
      </c>
    </row>
    <row r="318" spans="1:15" x14ac:dyDescent="0.3">
      <c r="A318" s="64">
        <v>317</v>
      </c>
      <c r="B318" s="64">
        <v>7685</v>
      </c>
      <c r="C318" s="64" t="s">
        <v>34</v>
      </c>
      <c r="D318" s="64" t="s">
        <v>25</v>
      </c>
      <c r="E318" s="64">
        <v>20353</v>
      </c>
      <c r="F318" s="64">
        <v>5</v>
      </c>
      <c r="G318" s="64">
        <v>101765</v>
      </c>
      <c r="H318" s="65">
        <v>45327</v>
      </c>
      <c r="I318" s="64" t="s">
        <v>26</v>
      </c>
      <c r="J318" s="64" t="s">
        <v>35</v>
      </c>
      <c r="K318" s="64" t="s">
        <v>28</v>
      </c>
      <c r="L318" s="64">
        <v>1.8</v>
      </c>
      <c r="M318" s="66">
        <v>7.494226895297991E-2</v>
      </c>
      <c r="N318" s="64">
        <v>22903</v>
      </c>
      <c r="O318" s="64" t="s">
        <v>18</v>
      </c>
    </row>
    <row r="319" spans="1:15" x14ac:dyDescent="0.3">
      <c r="A319" s="64">
        <v>318</v>
      </c>
      <c r="B319" s="64">
        <v>9809</v>
      </c>
      <c r="C319" s="64" t="s">
        <v>23</v>
      </c>
      <c r="D319" s="64" t="s">
        <v>25</v>
      </c>
      <c r="E319" s="64">
        <v>689</v>
      </c>
      <c r="F319" s="64">
        <v>4</v>
      </c>
      <c r="G319" s="64">
        <v>2756</v>
      </c>
      <c r="H319" s="65">
        <v>45563</v>
      </c>
      <c r="I319" s="64" t="s">
        <v>33</v>
      </c>
      <c r="J319" s="64" t="s">
        <v>21</v>
      </c>
      <c r="K319" s="64" t="s">
        <v>24</v>
      </c>
      <c r="L319" s="64">
        <v>4.3</v>
      </c>
      <c r="M319" s="66">
        <v>9.6324383164005822E-2</v>
      </c>
      <c r="N319" s="64">
        <v>561.33000000000004</v>
      </c>
      <c r="O319" s="64" t="s">
        <v>22</v>
      </c>
    </row>
    <row r="320" spans="1:15" x14ac:dyDescent="0.3">
      <c r="A320" s="64">
        <v>319</v>
      </c>
      <c r="B320" s="64">
        <v>1168</v>
      </c>
      <c r="C320" s="64" t="s">
        <v>13</v>
      </c>
      <c r="D320" s="64" t="s">
        <v>25</v>
      </c>
      <c r="E320" s="64">
        <v>27446</v>
      </c>
      <c r="F320" s="64">
        <v>1</v>
      </c>
      <c r="G320" s="64">
        <v>27446</v>
      </c>
      <c r="H320" s="65">
        <v>45436</v>
      </c>
      <c r="I320" s="64" t="s">
        <v>26</v>
      </c>
      <c r="J320" s="64" t="s">
        <v>21</v>
      </c>
      <c r="K320" s="64" t="s">
        <v>28</v>
      </c>
      <c r="L320" s="64">
        <v>1.7</v>
      </c>
      <c r="M320" s="66">
        <v>0.28146068643882532</v>
      </c>
      <c r="N320" s="64">
        <v>508.83</v>
      </c>
      <c r="O320" s="64" t="s">
        <v>22</v>
      </c>
    </row>
    <row r="321" spans="1:15" x14ac:dyDescent="0.3">
      <c r="A321" s="64">
        <v>320</v>
      </c>
      <c r="B321" s="64">
        <v>1709</v>
      </c>
      <c r="C321" s="64" t="s">
        <v>19</v>
      </c>
      <c r="D321" s="64" t="s">
        <v>20</v>
      </c>
      <c r="E321" s="64">
        <v>18520</v>
      </c>
      <c r="F321" s="64">
        <v>5</v>
      </c>
      <c r="G321" s="64">
        <v>92600</v>
      </c>
      <c r="H321" s="65">
        <v>45549</v>
      </c>
      <c r="I321" s="64" t="s">
        <v>26</v>
      </c>
      <c r="J321" s="64" t="s">
        <v>31</v>
      </c>
      <c r="K321" s="64" t="s">
        <v>28</v>
      </c>
      <c r="L321" s="64">
        <v>3.7</v>
      </c>
      <c r="M321" s="66">
        <v>0.20150518358531319</v>
      </c>
      <c r="N321" s="64">
        <v>9120.6200000000008</v>
      </c>
      <c r="O321" s="64" t="s">
        <v>22</v>
      </c>
    </row>
    <row r="322" spans="1:15" x14ac:dyDescent="0.3">
      <c r="A322" s="64">
        <v>321</v>
      </c>
      <c r="B322" s="64">
        <v>5849</v>
      </c>
      <c r="C322" s="64" t="s">
        <v>13</v>
      </c>
      <c r="D322" s="64" t="s">
        <v>25</v>
      </c>
      <c r="E322" s="64">
        <v>30053</v>
      </c>
      <c r="F322" s="64">
        <v>3</v>
      </c>
      <c r="G322" s="64">
        <v>90159</v>
      </c>
      <c r="H322" s="65">
        <v>45458</v>
      </c>
      <c r="I322" s="64" t="s">
        <v>33</v>
      </c>
      <c r="J322" s="64" t="s">
        <v>27</v>
      </c>
      <c r="K322" s="64" t="s">
        <v>24</v>
      </c>
      <c r="L322" s="64">
        <v>2.7</v>
      </c>
      <c r="M322" s="66">
        <v>8.8362004902450123E-2</v>
      </c>
      <c r="N322" s="64">
        <v>19081.07</v>
      </c>
      <c r="O322" s="64" t="s">
        <v>18</v>
      </c>
    </row>
    <row r="323" spans="1:15" x14ac:dyDescent="0.3">
      <c r="A323" s="64">
        <v>322</v>
      </c>
      <c r="B323" s="64">
        <v>5414</v>
      </c>
      <c r="C323" s="64" t="s">
        <v>19</v>
      </c>
      <c r="D323" s="64" t="s">
        <v>20</v>
      </c>
      <c r="E323" s="64">
        <v>42308</v>
      </c>
      <c r="F323" s="64">
        <v>3</v>
      </c>
      <c r="G323" s="64">
        <v>126924</v>
      </c>
      <c r="H323" s="65">
        <v>45488</v>
      </c>
      <c r="I323" s="64" t="s">
        <v>30</v>
      </c>
      <c r="J323" s="64" t="s">
        <v>21</v>
      </c>
      <c r="K323" s="64" t="s">
        <v>24</v>
      </c>
      <c r="L323" s="64">
        <v>3.4</v>
      </c>
      <c r="M323" s="66">
        <v>9.5472645047429958E-2</v>
      </c>
      <c r="N323" s="64">
        <v>25959.43</v>
      </c>
      <c r="O323" s="64" t="s">
        <v>18</v>
      </c>
    </row>
    <row r="324" spans="1:15" x14ac:dyDescent="0.3">
      <c r="A324" s="64">
        <v>323</v>
      </c>
      <c r="B324" s="64">
        <v>1892</v>
      </c>
      <c r="C324" s="64" t="s">
        <v>23</v>
      </c>
      <c r="D324" s="64" t="s">
        <v>20</v>
      </c>
      <c r="E324" s="64">
        <v>44409</v>
      </c>
      <c r="F324" s="64">
        <v>2</v>
      </c>
      <c r="G324" s="64">
        <v>88818</v>
      </c>
      <c r="H324" s="65">
        <v>45509</v>
      </c>
      <c r="I324" s="64" t="s">
        <v>33</v>
      </c>
      <c r="J324" s="64" t="s">
        <v>16</v>
      </c>
      <c r="K324" s="64" t="s">
        <v>28</v>
      </c>
      <c r="L324" s="64">
        <v>3.4</v>
      </c>
      <c r="M324" s="66">
        <v>5.032887477763516E-2</v>
      </c>
      <c r="N324" s="64">
        <v>22175.29</v>
      </c>
      <c r="O324" s="64" t="s">
        <v>22</v>
      </c>
    </row>
    <row r="325" spans="1:15" x14ac:dyDescent="0.3">
      <c r="A325" s="64">
        <v>324</v>
      </c>
      <c r="B325" s="64">
        <v>5705</v>
      </c>
      <c r="C325" s="64" t="s">
        <v>23</v>
      </c>
      <c r="D325" s="64" t="s">
        <v>25</v>
      </c>
      <c r="E325" s="64">
        <v>30523</v>
      </c>
      <c r="F325" s="64">
        <v>1</v>
      </c>
      <c r="G325" s="64">
        <v>30523</v>
      </c>
      <c r="H325" s="65">
        <v>45505</v>
      </c>
      <c r="I325" s="64" t="s">
        <v>30</v>
      </c>
      <c r="J325" s="64" t="s">
        <v>31</v>
      </c>
      <c r="K325" s="64" t="s">
        <v>28</v>
      </c>
      <c r="L325" s="64">
        <v>1.3</v>
      </c>
      <c r="M325" s="66">
        <v>8.9510860662451258E-2</v>
      </c>
      <c r="N325" s="64">
        <v>6424.76</v>
      </c>
      <c r="O325" s="64" t="s">
        <v>22</v>
      </c>
    </row>
    <row r="326" spans="1:15" x14ac:dyDescent="0.3">
      <c r="A326" s="64">
        <v>325</v>
      </c>
      <c r="B326" s="64">
        <v>3012</v>
      </c>
      <c r="C326" s="64" t="s">
        <v>29</v>
      </c>
      <c r="D326" s="64" t="s">
        <v>25</v>
      </c>
      <c r="E326" s="64">
        <v>48742</v>
      </c>
      <c r="F326" s="64">
        <v>3</v>
      </c>
      <c r="G326" s="64">
        <v>146226</v>
      </c>
      <c r="H326" s="65">
        <v>45480</v>
      </c>
      <c r="I326" s="64" t="s">
        <v>26</v>
      </c>
      <c r="J326" s="64" t="s">
        <v>16</v>
      </c>
      <c r="K326" s="64" t="s">
        <v>17</v>
      </c>
      <c r="L326" s="64">
        <v>4.9000000000000004</v>
      </c>
      <c r="M326" s="66">
        <v>0.2085374693966873</v>
      </c>
      <c r="N326" s="64">
        <v>13374.2</v>
      </c>
      <c r="O326" s="64" t="s">
        <v>22</v>
      </c>
    </row>
    <row r="327" spans="1:15" x14ac:dyDescent="0.3">
      <c r="A327" s="64">
        <v>326</v>
      </c>
      <c r="B327" s="64">
        <v>1226</v>
      </c>
      <c r="C327" s="64" t="s">
        <v>23</v>
      </c>
      <c r="D327" s="64" t="s">
        <v>14</v>
      </c>
      <c r="E327" s="64">
        <v>8487</v>
      </c>
      <c r="F327" s="64">
        <v>3</v>
      </c>
      <c r="G327" s="64">
        <v>25461</v>
      </c>
      <c r="H327" s="65">
        <v>45498</v>
      </c>
      <c r="I327" s="64" t="s">
        <v>33</v>
      </c>
      <c r="J327" s="64" t="s">
        <v>35</v>
      </c>
      <c r="K327" s="64" t="s">
        <v>28</v>
      </c>
      <c r="L327" s="64">
        <v>1.9</v>
      </c>
      <c r="M327" s="66">
        <v>0.25582930756843802</v>
      </c>
      <c r="N327" s="64">
        <v>1124.6300000000001</v>
      </c>
      <c r="O327" s="64" t="s">
        <v>22</v>
      </c>
    </row>
    <row r="328" spans="1:15" x14ac:dyDescent="0.3">
      <c r="A328" s="64">
        <v>327</v>
      </c>
      <c r="B328" s="64">
        <v>4925</v>
      </c>
      <c r="C328" s="64" t="s">
        <v>23</v>
      </c>
      <c r="D328" s="64" t="s">
        <v>25</v>
      </c>
      <c r="E328" s="64">
        <v>18922</v>
      </c>
      <c r="F328" s="64">
        <v>5</v>
      </c>
      <c r="G328" s="64">
        <v>94610</v>
      </c>
      <c r="H328" s="65">
        <v>45539</v>
      </c>
      <c r="I328" s="64" t="s">
        <v>33</v>
      </c>
      <c r="J328" s="64" t="s">
        <v>35</v>
      </c>
      <c r="K328" s="64" t="s">
        <v>17</v>
      </c>
      <c r="L328" s="64">
        <v>2.9</v>
      </c>
      <c r="M328" s="66">
        <v>5.1090688087939963E-2</v>
      </c>
      <c r="N328" s="64">
        <v>23549.31</v>
      </c>
      <c r="O328" s="64" t="s">
        <v>18</v>
      </c>
    </row>
    <row r="329" spans="1:15" x14ac:dyDescent="0.3">
      <c r="A329" s="64">
        <v>328</v>
      </c>
      <c r="B329" s="64">
        <v>3619</v>
      </c>
      <c r="C329" s="64" t="s">
        <v>19</v>
      </c>
      <c r="D329" s="64" t="s">
        <v>25</v>
      </c>
      <c r="E329" s="64">
        <v>18053</v>
      </c>
      <c r="F329" s="64">
        <v>3</v>
      </c>
      <c r="G329" s="64">
        <v>54159</v>
      </c>
      <c r="H329" s="65">
        <v>45538</v>
      </c>
      <c r="I329" s="64" t="s">
        <v>15</v>
      </c>
      <c r="J329" s="64" t="s">
        <v>27</v>
      </c>
      <c r="K329" s="64" t="s">
        <v>28</v>
      </c>
      <c r="L329" s="64">
        <v>1.3</v>
      </c>
      <c r="M329" s="66">
        <v>0.23197437175723334</v>
      </c>
      <c r="N329" s="64">
        <v>3684.2</v>
      </c>
      <c r="O329" s="64" t="s">
        <v>22</v>
      </c>
    </row>
    <row r="330" spans="1:15" x14ac:dyDescent="0.3">
      <c r="A330" s="64">
        <v>329</v>
      </c>
      <c r="B330" s="64">
        <v>5637</v>
      </c>
      <c r="C330" s="64" t="s">
        <v>19</v>
      </c>
      <c r="D330" s="64" t="s">
        <v>25</v>
      </c>
      <c r="E330" s="64">
        <v>28452</v>
      </c>
      <c r="F330" s="64">
        <v>2</v>
      </c>
      <c r="G330" s="64">
        <v>56904</v>
      </c>
      <c r="H330" s="65">
        <v>45410</v>
      </c>
      <c r="I330" s="64" t="s">
        <v>15</v>
      </c>
      <c r="J330" s="64" t="s">
        <v>27</v>
      </c>
      <c r="K330" s="64" t="s">
        <v>24</v>
      </c>
      <c r="L330" s="64">
        <v>2.1</v>
      </c>
      <c r="M330" s="66">
        <v>0.16740580627020946</v>
      </c>
      <c r="N330" s="64">
        <v>7545.14</v>
      </c>
      <c r="O330" s="64" t="s">
        <v>18</v>
      </c>
    </row>
    <row r="331" spans="1:15" x14ac:dyDescent="0.3">
      <c r="A331" s="64">
        <v>330</v>
      </c>
      <c r="B331" s="64">
        <v>6038</v>
      </c>
      <c r="C331" s="64" t="s">
        <v>13</v>
      </c>
      <c r="D331" s="64" t="s">
        <v>14</v>
      </c>
      <c r="E331" s="64">
        <v>4622</v>
      </c>
      <c r="F331" s="64">
        <v>3</v>
      </c>
      <c r="G331" s="64">
        <v>13866</v>
      </c>
      <c r="H331" s="65">
        <v>45375</v>
      </c>
      <c r="I331" s="64" t="s">
        <v>33</v>
      </c>
      <c r="J331" s="64" t="s">
        <v>27</v>
      </c>
      <c r="K331" s="64" t="s">
        <v>24</v>
      </c>
      <c r="L331" s="64">
        <v>1.2</v>
      </c>
      <c r="M331" s="66">
        <v>0.20078609548535986</v>
      </c>
      <c r="N331" s="64">
        <v>1375.7</v>
      </c>
      <c r="O331" s="64" t="s">
        <v>22</v>
      </c>
    </row>
    <row r="332" spans="1:15" x14ac:dyDescent="0.3">
      <c r="A332" s="64">
        <v>331</v>
      </c>
      <c r="B332" s="64">
        <v>9305</v>
      </c>
      <c r="C332" s="64" t="s">
        <v>34</v>
      </c>
      <c r="D332" s="64" t="s">
        <v>14</v>
      </c>
      <c r="E332" s="64">
        <v>2411</v>
      </c>
      <c r="F332" s="64">
        <v>3</v>
      </c>
      <c r="G332" s="64">
        <v>7233</v>
      </c>
      <c r="H332" s="65">
        <v>45514</v>
      </c>
      <c r="I332" s="64" t="s">
        <v>15</v>
      </c>
      <c r="J332" s="64" t="s">
        <v>16</v>
      </c>
      <c r="K332" s="64" t="s">
        <v>28</v>
      </c>
      <c r="L332" s="64">
        <v>4.5999999999999996</v>
      </c>
      <c r="M332" s="66">
        <v>0.17616894787778239</v>
      </c>
      <c r="N332" s="64">
        <v>895.67</v>
      </c>
      <c r="O332" s="64" t="s">
        <v>18</v>
      </c>
    </row>
    <row r="333" spans="1:15" x14ac:dyDescent="0.3">
      <c r="A333" s="64">
        <v>332</v>
      </c>
      <c r="B333" s="64">
        <v>6393</v>
      </c>
      <c r="C333" s="64" t="s">
        <v>32</v>
      </c>
      <c r="D333" s="64" t="s">
        <v>14</v>
      </c>
      <c r="E333" s="64">
        <v>26718</v>
      </c>
      <c r="F333" s="64">
        <v>3</v>
      </c>
      <c r="G333" s="64">
        <v>80154</v>
      </c>
      <c r="H333" s="65">
        <v>45340</v>
      </c>
      <c r="I333" s="64" t="s">
        <v>26</v>
      </c>
      <c r="J333" s="64" t="s">
        <v>16</v>
      </c>
      <c r="K333" s="64" t="s">
        <v>24</v>
      </c>
      <c r="L333" s="64">
        <v>4.9000000000000004</v>
      </c>
      <c r="M333" s="66">
        <v>9.3721461187214611E-2</v>
      </c>
      <c r="N333" s="64">
        <v>16534.05</v>
      </c>
      <c r="O333" s="64" t="s">
        <v>22</v>
      </c>
    </row>
    <row r="334" spans="1:15" x14ac:dyDescent="0.3">
      <c r="A334" s="64">
        <v>333</v>
      </c>
      <c r="B334" s="64">
        <v>1870</v>
      </c>
      <c r="C334" s="64" t="s">
        <v>13</v>
      </c>
      <c r="D334" s="64" t="s">
        <v>25</v>
      </c>
      <c r="E334" s="64">
        <v>5238</v>
      </c>
      <c r="F334" s="64">
        <v>5</v>
      </c>
      <c r="G334" s="64">
        <v>26190</v>
      </c>
      <c r="H334" s="65">
        <v>45459</v>
      </c>
      <c r="I334" s="64" t="s">
        <v>30</v>
      </c>
      <c r="J334" s="64" t="s">
        <v>16</v>
      </c>
      <c r="K334" s="64" t="s">
        <v>17</v>
      </c>
      <c r="L334" s="64">
        <v>2.9</v>
      </c>
      <c r="M334" s="66">
        <v>0.14151088201603665</v>
      </c>
      <c r="N334" s="64">
        <v>4150.83</v>
      </c>
      <c r="O334" s="64" t="s">
        <v>22</v>
      </c>
    </row>
    <row r="335" spans="1:15" x14ac:dyDescent="0.3">
      <c r="A335" s="64">
        <v>334</v>
      </c>
      <c r="B335" s="64">
        <v>5505</v>
      </c>
      <c r="C335" s="64" t="s">
        <v>13</v>
      </c>
      <c r="D335" s="64" t="s">
        <v>20</v>
      </c>
      <c r="E335" s="64">
        <v>33013</v>
      </c>
      <c r="F335" s="64">
        <v>1</v>
      </c>
      <c r="G335" s="64">
        <v>33013</v>
      </c>
      <c r="H335" s="65">
        <v>45505</v>
      </c>
      <c r="I335" s="64" t="s">
        <v>26</v>
      </c>
      <c r="J335" s="64" t="s">
        <v>35</v>
      </c>
      <c r="K335" s="64" t="s">
        <v>17</v>
      </c>
      <c r="L335" s="64">
        <v>4.7</v>
      </c>
      <c r="M335" s="66">
        <v>6.2513555266107301E-2</v>
      </c>
      <c r="N335" s="64">
        <v>7840.14</v>
      </c>
      <c r="O335" s="64" t="s">
        <v>18</v>
      </c>
    </row>
    <row r="336" spans="1:15" x14ac:dyDescent="0.3">
      <c r="A336" s="64">
        <v>335</v>
      </c>
      <c r="B336" s="64">
        <v>2883</v>
      </c>
      <c r="C336" s="64" t="s">
        <v>13</v>
      </c>
      <c r="D336" s="64" t="s">
        <v>25</v>
      </c>
      <c r="E336" s="64">
        <v>48181</v>
      </c>
      <c r="F336" s="64">
        <v>1</v>
      </c>
      <c r="G336" s="64">
        <v>48181</v>
      </c>
      <c r="H336" s="65">
        <v>45655</v>
      </c>
      <c r="I336" s="64" t="s">
        <v>30</v>
      </c>
      <c r="J336" s="64" t="s">
        <v>35</v>
      </c>
      <c r="K336" s="64" t="s">
        <v>28</v>
      </c>
      <c r="L336" s="64">
        <v>4.7</v>
      </c>
      <c r="M336" s="66">
        <v>0.29974782590647764</v>
      </c>
      <c r="N336" s="64">
        <v>12.15</v>
      </c>
      <c r="O336" s="64" t="s">
        <v>22</v>
      </c>
    </row>
    <row r="337" spans="1:15" x14ac:dyDescent="0.3">
      <c r="A337" s="64">
        <v>336</v>
      </c>
      <c r="B337" s="64">
        <v>7038</v>
      </c>
      <c r="C337" s="64" t="s">
        <v>29</v>
      </c>
      <c r="D337" s="64" t="s">
        <v>20</v>
      </c>
      <c r="E337" s="64">
        <v>27848</v>
      </c>
      <c r="F337" s="64">
        <v>5</v>
      </c>
      <c r="G337" s="64">
        <v>139240</v>
      </c>
      <c r="H337" s="65">
        <v>45358</v>
      </c>
      <c r="I337" s="64" t="s">
        <v>26</v>
      </c>
      <c r="J337" s="64" t="s">
        <v>31</v>
      </c>
      <c r="K337" s="64" t="s">
        <v>17</v>
      </c>
      <c r="L337" s="64">
        <v>4.7</v>
      </c>
      <c r="M337" s="66">
        <v>0.21789054869290436</v>
      </c>
      <c r="N337" s="64">
        <v>11432.92</v>
      </c>
      <c r="O337" s="64" t="s">
        <v>22</v>
      </c>
    </row>
    <row r="338" spans="1:15" x14ac:dyDescent="0.3">
      <c r="A338" s="64">
        <v>337</v>
      </c>
      <c r="B338" s="64">
        <v>6061</v>
      </c>
      <c r="C338" s="64" t="s">
        <v>29</v>
      </c>
      <c r="D338" s="64" t="s">
        <v>14</v>
      </c>
      <c r="E338" s="64">
        <v>1516</v>
      </c>
      <c r="F338" s="64">
        <v>2</v>
      </c>
      <c r="G338" s="64">
        <v>3032</v>
      </c>
      <c r="H338" s="65">
        <v>45515</v>
      </c>
      <c r="I338" s="64" t="s">
        <v>26</v>
      </c>
      <c r="J338" s="64" t="s">
        <v>27</v>
      </c>
      <c r="K338" s="64" t="s">
        <v>28</v>
      </c>
      <c r="L338" s="64">
        <v>1.4</v>
      </c>
      <c r="M338" s="66">
        <v>9.2687994722955136E-2</v>
      </c>
      <c r="N338" s="64">
        <v>628.57000000000005</v>
      </c>
      <c r="O338" s="64" t="s">
        <v>22</v>
      </c>
    </row>
    <row r="339" spans="1:15" x14ac:dyDescent="0.3">
      <c r="A339" s="64">
        <v>338</v>
      </c>
      <c r="B339" s="64">
        <v>1707</v>
      </c>
      <c r="C339" s="64" t="s">
        <v>23</v>
      </c>
      <c r="D339" s="64" t="s">
        <v>14</v>
      </c>
      <c r="E339" s="64">
        <v>6010</v>
      </c>
      <c r="F339" s="64">
        <v>2</v>
      </c>
      <c r="G339" s="64">
        <v>12020</v>
      </c>
      <c r="H339" s="65">
        <v>45468</v>
      </c>
      <c r="I339" s="64" t="s">
        <v>33</v>
      </c>
      <c r="J339" s="64" t="s">
        <v>16</v>
      </c>
      <c r="K339" s="64" t="s">
        <v>24</v>
      </c>
      <c r="L339" s="64">
        <v>3.3</v>
      </c>
      <c r="M339" s="66">
        <v>0.13295091514143095</v>
      </c>
      <c r="N339" s="64">
        <v>2007.93</v>
      </c>
      <c r="O339" s="64" t="s">
        <v>22</v>
      </c>
    </row>
    <row r="340" spans="1:15" x14ac:dyDescent="0.3">
      <c r="A340" s="64">
        <v>339</v>
      </c>
      <c r="B340" s="64">
        <v>7875</v>
      </c>
      <c r="C340" s="64" t="s">
        <v>32</v>
      </c>
      <c r="D340" s="64" t="s">
        <v>14</v>
      </c>
      <c r="E340" s="64">
        <v>32974</v>
      </c>
      <c r="F340" s="64">
        <v>4</v>
      </c>
      <c r="G340" s="64">
        <v>131896</v>
      </c>
      <c r="H340" s="65">
        <v>45503</v>
      </c>
      <c r="I340" s="64" t="s">
        <v>15</v>
      </c>
      <c r="J340" s="64" t="s">
        <v>21</v>
      </c>
      <c r="K340" s="64" t="s">
        <v>17</v>
      </c>
      <c r="L340" s="64">
        <v>1.8</v>
      </c>
      <c r="M340" s="66">
        <v>0.15038704737065567</v>
      </c>
      <c r="N340" s="64">
        <v>19733.349999999999</v>
      </c>
      <c r="O340" s="64" t="s">
        <v>22</v>
      </c>
    </row>
    <row r="341" spans="1:15" x14ac:dyDescent="0.3">
      <c r="A341" s="64">
        <v>340</v>
      </c>
      <c r="B341" s="64">
        <v>2061</v>
      </c>
      <c r="C341" s="64" t="s">
        <v>32</v>
      </c>
      <c r="D341" s="64" t="s">
        <v>14</v>
      </c>
      <c r="E341" s="64">
        <v>5382</v>
      </c>
      <c r="F341" s="64">
        <v>1</v>
      </c>
      <c r="G341" s="64">
        <v>5382</v>
      </c>
      <c r="H341" s="65">
        <v>45590</v>
      </c>
      <c r="I341" s="64" t="s">
        <v>15</v>
      </c>
      <c r="J341" s="64" t="s">
        <v>31</v>
      </c>
      <c r="K341" s="64" t="s">
        <v>28</v>
      </c>
      <c r="L341" s="64">
        <v>2.9</v>
      </c>
      <c r="M341" s="66">
        <v>0.20960423634336675</v>
      </c>
      <c r="N341" s="64">
        <v>486.51</v>
      </c>
      <c r="O341" s="64" t="s">
        <v>18</v>
      </c>
    </row>
    <row r="342" spans="1:15" x14ac:dyDescent="0.3">
      <c r="A342" s="64">
        <v>341</v>
      </c>
      <c r="B342" s="64">
        <v>6379</v>
      </c>
      <c r="C342" s="64" t="s">
        <v>32</v>
      </c>
      <c r="D342" s="64" t="s">
        <v>14</v>
      </c>
      <c r="E342" s="64">
        <v>32715</v>
      </c>
      <c r="F342" s="64">
        <v>3</v>
      </c>
      <c r="G342" s="64">
        <v>98145</v>
      </c>
      <c r="H342" s="65">
        <v>45454</v>
      </c>
      <c r="I342" s="64" t="s">
        <v>33</v>
      </c>
      <c r="J342" s="64" t="s">
        <v>27</v>
      </c>
      <c r="K342" s="64" t="s">
        <v>17</v>
      </c>
      <c r="L342" s="64">
        <v>3</v>
      </c>
      <c r="M342" s="66">
        <v>0.17575739976565286</v>
      </c>
      <c r="N342" s="64">
        <v>12193.79</v>
      </c>
      <c r="O342" s="64" t="s">
        <v>18</v>
      </c>
    </row>
    <row r="343" spans="1:15" x14ac:dyDescent="0.3">
      <c r="A343" s="64">
        <v>342</v>
      </c>
      <c r="B343" s="64">
        <v>9271</v>
      </c>
      <c r="C343" s="64" t="s">
        <v>34</v>
      </c>
      <c r="D343" s="64" t="s">
        <v>20</v>
      </c>
      <c r="E343" s="64">
        <v>15323</v>
      </c>
      <c r="F343" s="64">
        <v>3</v>
      </c>
      <c r="G343" s="64">
        <v>45969</v>
      </c>
      <c r="H343" s="65">
        <v>45303</v>
      </c>
      <c r="I343" s="64" t="s">
        <v>33</v>
      </c>
      <c r="J343" s="64" t="s">
        <v>21</v>
      </c>
      <c r="K343" s="64" t="s">
        <v>28</v>
      </c>
      <c r="L343" s="64">
        <v>4.4000000000000004</v>
      </c>
      <c r="M343" s="66">
        <v>7.5554177815484347E-2</v>
      </c>
      <c r="N343" s="64">
        <v>10317.549999999999</v>
      </c>
      <c r="O343" s="64" t="s">
        <v>22</v>
      </c>
    </row>
    <row r="344" spans="1:15" x14ac:dyDescent="0.3">
      <c r="A344" s="64">
        <v>343</v>
      </c>
      <c r="B344" s="64">
        <v>7756</v>
      </c>
      <c r="C344" s="64" t="s">
        <v>29</v>
      </c>
      <c r="D344" s="64" t="s">
        <v>20</v>
      </c>
      <c r="E344" s="64">
        <v>49908</v>
      </c>
      <c r="F344" s="64">
        <v>2</v>
      </c>
      <c r="G344" s="64">
        <v>99816</v>
      </c>
      <c r="H344" s="65">
        <v>45490</v>
      </c>
      <c r="I344" s="64" t="s">
        <v>15</v>
      </c>
      <c r="J344" s="64" t="s">
        <v>31</v>
      </c>
      <c r="K344" s="64" t="s">
        <v>24</v>
      </c>
      <c r="L344" s="64">
        <v>4.7</v>
      </c>
      <c r="M344" s="66">
        <v>0.25110914081910712</v>
      </c>
      <c r="N344" s="64">
        <v>4880.09</v>
      </c>
      <c r="O344" s="64" t="s">
        <v>22</v>
      </c>
    </row>
    <row r="345" spans="1:15" x14ac:dyDescent="0.3">
      <c r="A345" s="64">
        <v>344</v>
      </c>
      <c r="B345" s="64">
        <v>6680</v>
      </c>
      <c r="C345" s="64" t="s">
        <v>19</v>
      </c>
      <c r="D345" s="64" t="s">
        <v>14</v>
      </c>
      <c r="E345" s="64">
        <v>18455</v>
      </c>
      <c r="F345" s="64">
        <v>2</v>
      </c>
      <c r="G345" s="64">
        <v>36910</v>
      </c>
      <c r="H345" s="65">
        <v>45372</v>
      </c>
      <c r="I345" s="64" t="s">
        <v>26</v>
      </c>
      <c r="J345" s="64" t="s">
        <v>31</v>
      </c>
      <c r="K345" s="64" t="s">
        <v>17</v>
      </c>
      <c r="L345" s="64">
        <v>2</v>
      </c>
      <c r="M345" s="66">
        <v>0.29491465727445138</v>
      </c>
      <c r="N345" s="64">
        <v>187.7</v>
      </c>
      <c r="O345" s="64" t="s">
        <v>22</v>
      </c>
    </row>
    <row r="346" spans="1:15" x14ac:dyDescent="0.3">
      <c r="A346" s="64">
        <v>345</v>
      </c>
      <c r="B346" s="64">
        <v>1180</v>
      </c>
      <c r="C346" s="64" t="s">
        <v>23</v>
      </c>
      <c r="D346" s="64" t="s">
        <v>20</v>
      </c>
      <c r="E346" s="64">
        <v>35702</v>
      </c>
      <c r="F346" s="64">
        <v>1</v>
      </c>
      <c r="G346" s="64">
        <v>35702</v>
      </c>
      <c r="H346" s="65">
        <v>45572</v>
      </c>
      <c r="I346" s="64" t="s">
        <v>15</v>
      </c>
      <c r="J346" s="64" t="s">
        <v>21</v>
      </c>
      <c r="K346" s="64" t="s">
        <v>17</v>
      </c>
      <c r="L346" s="64">
        <v>2.1</v>
      </c>
      <c r="M346" s="66">
        <v>0.24788527253375162</v>
      </c>
      <c r="N346" s="64">
        <v>1860.6</v>
      </c>
      <c r="O346" s="64" t="s">
        <v>18</v>
      </c>
    </row>
    <row r="347" spans="1:15" x14ac:dyDescent="0.3">
      <c r="A347" s="64">
        <v>346</v>
      </c>
      <c r="B347" s="64">
        <v>6314</v>
      </c>
      <c r="C347" s="64" t="s">
        <v>23</v>
      </c>
      <c r="D347" s="64" t="s">
        <v>20</v>
      </c>
      <c r="E347" s="64">
        <v>35854</v>
      </c>
      <c r="F347" s="64">
        <v>1</v>
      </c>
      <c r="G347" s="64">
        <v>35854</v>
      </c>
      <c r="H347" s="65">
        <v>45301</v>
      </c>
      <c r="I347" s="64" t="s">
        <v>26</v>
      </c>
      <c r="J347" s="64" t="s">
        <v>35</v>
      </c>
      <c r="K347" s="64" t="s">
        <v>17</v>
      </c>
      <c r="L347" s="64">
        <v>4.5</v>
      </c>
      <c r="M347" s="66">
        <v>7.8698611033636415E-2</v>
      </c>
      <c r="N347" s="64">
        <v>7934.54</v>
      </c>
      <c r="O347" s="64" t="s">
        <v>18</v>
      </c>
    </row>
    <row r="348" spans="1:15" x14ac:dyDescent="0.3">
      <c r="A348" s="64">
        <v>347</v>
      </c>
      <c r="B348" s="64">
        <v>1197</v>
      </c>
      <c r="C348" s="64" t="s">
        <v>29</v>
      </c>
      <c r="D348" s="64" t="s">
        <v>14</v>
      </c>
      <c r="E348" s="64">
        <v>47261</v>
      </c>
      <c r="F348" s="64">
        <v>5</v>
      </c>
      <c r="G348" s="64">
        <v>236305</v>
      </c>
      <c r="H348" s="65">
        <v>45613</v>
      </c>
      <c r="I348" s="64" t="s">
        <v>33</v>
      </c>
      <c r="J348" s="64" t="s">
        <v>27</v>
      </c>
      <c r="K348" s="64" t="s">
        <v>24</v>
      </c>
      <c r="L348" s="64">
        <v>4.5</v>
      </c>
      <c r="M348" s="66">
        <v>0.19068720509511011</v>
      </c>
      <c r="N348" s="64">
        <v>25831.16</v>
      </c>
      <c r="O348" s="64" t="s">
        <v>18</v>
      </c>
    </row>
    <row r="349" spans="1:15" x14ac:dyDescent="0.3">
      <c r="A349" s="64">
        <v>348</v>
      </c>
      <c r="B349" s="64">
        <v>4022</v>
      </c>
      <c r="C349" s="64" t="s">
        <v>29</v>
      </c>
      <c r="D349" s="64" t="s">
        <v>25</v>
      </c>
      <c r="E349" s="64">
        <v>36102</v>
      </c>
      <c r="F349" s="64">
        <v>1</v>
      </c>
      <c r="G349" s="64">
        <v>36102</v>
      </c>
      <c r="H349" s="65">
        <v>45618</v>
      </c>
      <c r="I349" s="64" t="s">
        <v>33</v>
      </c>
      <c r="J349" s="64" t="s">
        <v>35</v>
      </c>
      <c r="K349" s="64" t="s">
        <v>17</v>
      </c>
      <c r="L349" s="64">
        <v>4.2</v>
      </c>
      <c r="M349" s="66">
        <v>0.25954517755249018</v>
      </c>
      <c r="N349" s="64">
        <v>1460.5</v>
      </c>
      <c r="O349" s="64" t="s">
        <v>22</v>
      </c>
    </row>
    <row r="350" spans="1:15" x14ac:dyDescent="0.3">
      <c r="A350" s="64">
        <v>349</v>
      </c>
      <c r="B350" s="64">
        <v>7437</v>
      </c>
      <c r="C350" s="64" t="s">
        <v>13</v>
      </c>
      <c r="D350" s="64" t="s">
        <v>25</v>
      </c>
      <c r="E350" s="64">
        <v>44873</v>
      </c>
      <c r="F350" s="64">
        <v>2</v>
      </c>
      <c r="G350" s="64">
        <v>89746</v>
      </c>
      <c r="H350" s="65">
        <v>45564</v>
      </c>
      <c r="I350" s="64" t="s">
        <v>33</v>
      </c>
      <c r="J350" s="64" t="s">
        <v>16</v>
      </c>
      <c r="K350" s="64" t="s">
        <v>24</v>
      </c>
      <c r="L350" s="64">
        <v>3.5</v>
      </c>
      <c r="M350" s="66">
        <v>0.17918102199540928</v>
      </c>
      <c r="N350" s="64">
        <v>10843.02</v>
      </c>
      <c r="O350" s="64" t="s">
        <v>22</v>
      </c>
    </row>
    <row r="351" spans="1:15" x14ac:dyDescent="0.3">
      <c r="A351" s="64">
        <v>350</v>
      </c>
      <c r="B351" s="64">
        <v>3414</v>
      </c>
      <c r="C351" s="64" t="s">
        <v>23</v>
      </c>
      <c r="D351" s="64" t="s">
        <v>25</v>
      </c>
      <c r="E351" s="64">
        <v>27105</v>
      </c>
      <c r="F351" s="64">
        <v>1</v>
      </c>
      <c r="G351" s="64">
        <v>27105</v>
      </c>
      <c r="H351" s="65">
        <v>45315</v>
      </c>
      <c r="I351" s="64" t="s">
        <v>15</v>
      </c>
      <c r="J351" s="64" t="s">
        <v>16</v>
      </c>
      <c r="K351" s="64" t="s">
        <v>24</v>
      </c>
      <c r="L351" s="64">
        <v>4.0999999999999996</v>
      </c>
      <c r="M351" s="66">
        <v>0.27142150894668882</v>
      </c>
      <c r="N351" s="64">
        <v>774.62</v>
      </c>
      <c r="O351" s="64" t="s">
        <v>18</v>
      </c>
    </row>
    <row r="352" spans="1:15" x14ac:dyDescent="0.3">
      <c r="A352" s="64">
        <v>351</v>
      </c>
      <c r="B352" s="64">
        <v>8495</v>
      </c>
      <c r="C352" s="64" t="s">
        <v>34</v>
      </c>
      <c r="D352" s="64" t="s">
        <v>14</v>
      </c>
      <c r="E352" s="64">
        <v>31074</v>
      </c>
      <c r="F352" s="64">
        <v>3</v>
      </c>
      <c r="G352" s="64">
        <v>93222</v>
      </c>
      <c r="H352" s="65">
        <v>45625</v>
      </c>
      <c r="I352" s="64" t="s">
        <v>26</v>
      </c>
      <c r="J352" s="64" t="s">
        <v>31</v>
      </c>
      <c r="K352" s="64" t="s">
        <v>24</v>
      </c>
      <c r="L352" s="64">
        <v>5</v>
      </c>
      <c r="M352" s="66">
        <v>5.5049130033683037E-2</v>
      </c>
      <c r="N352" s="64">
        <v>22834.81</v>
      </c>
      <c r="O352" s="64" t="s">
        <v>18</v>
      </c>
    </row>
    <row r="353" spans="1:15" x14ac:dyDescent="0.3">
      <c r="A353" s="64">
        <v>352</v>
      </c>
      <c r="B353" s="64">
        <v>4366</v>
      </c>
      <c r="C353" s="64" t="s">
        <v>23</v>
      </c>
      <c r="D353" s="64" t="s">
        <v>14</v>
      </c>
      <c r="E353" s="64">
        <v>24133</v>
      </c>
      <c r="F353" s="64">
        <v>2</v>
      </c>
      <c r="G353" s="64">
        <v>48266</v>
      </c>
      <c r="H353" s="65">
        <v>45368</v>
      </c>
      <c r="I353" s="64" t="s">
        <v>33</v>
      </c>
      <c r="J353" s="64" t="s">
        <v>31</v>
      </c>
      <c r="K353" s="64" t="s">
        <v>28</v>
      </c>
      <c r="L353" s="64">
        <v>3.4</v>
      </c>
      <c r="M353" s="66">
        <v>0.26890771971988564</v>
      </c>
      <c r="N353" s="64">
        <v>1500.7</v>
      </c>
      <c r="O353" s="64" t="s">
        <v>18</v>
      </c>
    </row>
    <row r="354" spans="1:15" x14ac:dyDescent="0.3">
      <c r="A354" s="64">
        <v>353</v>
      </c>
      <c r="B354" s="64">
        <v>8367</v>
      </c>
      <c r="C354" s="64" t="s">
        <v>13</v>
      </c>
      <c r="D354" s="64" t="s">
        <v>25</v>
      </c>
      <c r="E354" s="64">
        <v>36473</v>
      </c>
      <c r="F354" s="64">
        <v>3</v>
      </c>
      <c r="G354" s="64">
        <v>109419</v>
      </c>
      <c r="H354" s="65">
        <v>45477</v>
      </c>
      <c r="I354" s="64" t="s">
        <v>30</v>
      </c>
      <c r="J354" s="64" t="s">
        <v>35</v>
      </c>
      <c r="K354" s="64" t="s">
        <v>17</v>
      </c>
      <c r="L354" s="64">
        <v>2.5</v>
      </c>
      <c r="M354" s="66">
        <v>0.22961386962044983</v>
      </c>
      <c r="N354" s="64">
        <v>7701.58</v>
      </c>
      <c r="O354" s="64" t="s">
        <v>22</v>
      </c>
    </row>
    <row r="355" spans="1:15" x14ac:dyDescent="0.3">
      <c r="A355" s="64">
        <v>354</v>
      </c>
      <c r="B355" s="64">
        <v>7808</v>
      </c>
      <c r="C355" s="64" t="s">
        <v>29</v>
      </c>
      <c r="D355" s="64" t="s">
        <v>14</v>
      </c>
      <c r="E355" s="64">
        <v>11887</v>
      </c>
      <c r="F355" s="64">
        <v>5</v>
      </c>
      <c r="G355" s="64">
        <v>59435</v>
      </c>
      <c r="H355" s="65">
        <v>45486</v>
      </c>
      <c r="I355" s="64" t="s">
        <v>30</v>
      </c>
      <c r="J355" s="64" t="s">
        <v>16</v>
      </c>
      <c r="K355" s="64" t="s">
        <v>17</v>
      </c>
      <c r="L355" s="64">
        <v>4.0999999999999996</v>
      </c>
      <c r="M355" s="66">
        <v>0.27550450071506688</v>
      </c>
      <c r="N355" s="64">
        <v>1455.89</v>
      </c>
      <c r="O355" s="64" t="s">
        <v>22</v>
      </c>
    </row>
    <row r="356" spans="1:15" x14ac:dyDescent="0.3">
      <c r="A356" s="64">
        <v>355</v>
      </c>
      <c r="B356" s="64">
        <v>4333</v>
      </c>
      <c r="C356" s="64" t="s">
        <v>34</v>
      </c>
      <c r="D356" s="64" t="s">
        <v>25</v>
      </c>
      <c r="E356" s="64">
        <v>29963</v>
      </c>
      <c r="F356" s="64">
        <v>2</v>
      </c>
      <c r="G356" s="64">
        <v>59926</v>
      </c>
      <c r="H356" s="65">
        <v>45503</v>
      </c>
      <c r="I356" s="64" t="s">
        <v>33</v>
      </c>
      <c r="J356" s="64" t="s">
        <v>21</v>
      </c>
      <c r="K356" s="64" t="s">
        <v>24</v>
      </c>
      <c r="L356" s="64">
        <v>1.6</v>
      </c>
      <c r="M356" s="66">
        <v>0.15752578179755031</v>
      </c>
      <c r="N356" s="64">
        <v>8537.91</v>
      </c>
      <c r="O356" s="64" t="s">
        <v>18</v>
      </c>
    </row>
    <row r="357" spans="1:15" x14ac:dyDescent="0.3">
      <c r="A357" s="64">
        <v>356</v>
      </c>
      <c r="B357" s="64">
        <v>9972</v>
      </c>
      <c r="C357" s="64" t="s">
        <v>32</v>
      </c>
      <c r="D357" s="64" t="s">
        <v>14</v>
      </c>
      <c r="E357" s="64">
        <v>4466</v>
      </c>
      <c r="F357" s="64">
        <v>3</v>
      </c>
      <c r="G357" s="64">
        <v>13398</v>
      </c>
      <c r="H357" s="65">
        <v>45565</v>
      </c>
      <c r="I357" s="64" t="s">
        <v>26</v>
      </c>
      <c r="J357" s="64" t="s">
        <v>27</v>
      </c>
      <c r="K357" s="64" t="s">
        <v>17</v>
      </c>
      <c r="L357" s="64">
        <v>3.2</v>
      </c>
      <c r="M357" s="66">
        <v>0.13894237945962085</v>
      </c>
      <c r="N357" s="64">
        <v>2157.85</v>
      </c>
      <c r="O357" s="64" t="s">
        <v>18</v>
      </c>
    </row>
    <row r="358" spans="1:15" x14ac:dyDescent="0.3">
      <c r="A358" s="64">
        <v>357</v>
      </c>
      <c r="B358" s="64">
        <v>7457</v>
      </c>
      <c r="C358" s="64" t="s">
        <v>13</v>
      </c>
      <c r="D358" s="64" t="s">
        <v>20</v>
      </c>
      <c r="E358" s="64">
        <v>46441</v>
      </c>
      <c r="F358" s="64">
        <v>5</v>
      </c>
      <c r="G358" s="64">
        <v>232205</v>
      </c>
      <c r="H358" s="65">
        <v>45519</v>
      </c>
      <c r="I358" s="64" t="s">
        <v>30</v>
      </c>
      <c r="J358" s="64" t="s">
        <v>27</v>
      </c>
      <c r="K358" s="64" t="s">
        <v>24</v>
      </c>
      <c r="L358" s="64">
        <v>5</v>
      </c>
      <c r="M358" s="66">
        <v>0.25499928942098576</v>
      </c>
      <c r="N358" s="64">
        <v>10449.39</v>
      </c>
      <c r="O358" s="64" t="s">
        <v>18</v>
      </c>
    </row>
    <row r="359" spans="1:15" x14ac:dyDescent="0.3">
      <c r="A359" s="64">
        <v>358</v>
      </c>
      <c r="B359" s="64">
        <v>8077</v>
      </c>
      <c r="C359" s="64" t="s">
        <v>29</v>
      </c>
      <c r="D359" s="64" t="s">
        <v>14</v>
      </c>
      <c r="E359" s="64">
        <v>44163</v>
      </c>
      <c r="F359" s="64">
        <v>2</v>
      </c>
      <c r="G359" s="64">
        <v>88326</v>
      </c>
      <c r="H359" s="65">
        <v>45581</v>
      </c>
      <c r="I359" s="64" t="s">
        <v>33</v>
      </c>
      <c r="J359" s="64" t="s">
        <v>31</v>
      </c>
      <c r="K359" s="64" t="s">
        <v>24</v>
      </c>
      <c r="L359" s="64">
        <v>3.1</v>
      </c>
      <c r="M359" s="66">
        <v>0.19695084120191111</v>
      </c>
      <c r="N359" s="64">
        <v>9101.92</v>
      </c>
      <c r="O359" s="64" t="s">
        <v>22</v>
      </c>
    </row>
    <row r="360" spans="1:15" x14ac:dyDescent="0.3">
      <c r="A360" s="64">
        <v>359</v>
      </c>
      <c r="B360" s="64">
        <v>2871</v>
      </c>
      <c r="C360" s="64" t="s">
        <v>34</v>
      </c>
      <c r="D360" s="64" t="s">
        <v>14</v>
      </c>
      <c r="E360" s="64">
        <v>3486</v>
      </c>
      <c r="F360" s="64">
        <v>2</v>
      </c>
      <c r="G360" s="64">
        <v>6972</v>
      </c>
      <c r="H360" s="65">
        <v>45410</v>
      </c>
      <c r="I360" s="64" t="s">
        <v>15</v>
      </c>
      <c r="J360" s="64" t="s">
        <v>27</v>
      </c>
      <c r="K360" s="64" t="s">
        <v>17</v>
      </c>
      <c r="L360" s="64">
        <v>1.2</v>
      </c>
      <c r="M360" s="66">
        <v>0.17759753298909925</v>
      </c>
      <c r="N360" s="64">
        <v>853.39</v>
      </c>
      <c r="O360" s="64" t="s">
        <v>22</v>
      </c>
    </row>
    <row r="361" spans="1:15" x14ac:dyDescent="0.3">
      <c r="A361" s="64">
        <v>360</v>
      </c>
      <c r="B361" s="64">
        <v>9764</v>
      </c>
      <c r="C361" s="64" t="s">
        <v>29</v>
      </c>
      <c r="D361" s="64" t="s">
        <v>20</v>
      </c>
      <c r="E361" s="64">
        <v>28341</v>
      </c>
      <c r="F361" s="64">
        <v>1</v>
      </c>
      <c r="G361" s="64">
        <v>28341</v>
      </c>
      <c r="H361" s="65">
        <v>45576</v>
      </c>
      <c r="I361" s="64" t="s">
        <v>26</v>
      </c>
      <c r="J361" s="64" t="s">
        <v>16</v>
      </c>
      <c r="K361" s="64" t="s">
        <v>17</v>
      </c>
      <c r="L361" s="64">
        <v>2.7</v>
      </c>
      <c r="M361" s="66">
        <v>0.1105264457852581</v>
      </c>
      <c r="N361" s="64">
        <v>5369.87</v>
      </c>
      <c r="O361" s="64" t="s">
        <v>18</v>
      </c>
    </row>
    <row r="362" spans="1:15" x14ac:dyDescent="0.3">
      <c r="A362" s="64">
        <v>361</v>
      </c>
      <c r="B362" s="64">
        <v>9396</v>
      </c>
      <c r="C362" s="64" t="s">
        <v>29</v>
      </c>
      <c r="D362" s="64" t="s">
        <v>14</v>
      </c>
      <c r="E362" s="64">
        <v>19594</v>
      </c>
      <c r="F362" s="64">
        <v>4</v>
      </c>
      <c r="G362" s="64">
        <v>78376</v>
      </c>
      <c r="H362" s="65">
        <v>45301</v>
      </c>
      <c r="I362" s="64" t="s">
        <v>26</v>
      </c>
      <c r="J362" s="64" t="s">
        <v>35</v>
      </c>
      <c r="K362" s="64" t="s">
        <v>28</v>
      </c>
      <c r="L362" s="64">
        <v>3.7</v>
      </c>
      <c r="M362" s="66">
        <v>5.9523833826681631E-2</v>
      </c>
      <c r="N362" s="64">
        <v>18847.560000000001</v>
      </c>
      <c r="O362" s="64" t="s">
        <v>18</v>
      </c>
    </row>
    <row r="363" spans="1:15" x14ac:dyDescent="0.3">
      <c r="A363" s="64">
        <v>362</v>
      </c>
      <c r="B363" s="64">
        <v>3485</v>
      </c>
      <c r="C363" s="64" t="s">
        <v>32</v>
      </c>
      <c r="D363" s="64" t="s">
        <v>20</v>
      </c>
      <c r="E363" s="64">
        <v>22163</v>
      </c>
      <c r="F363" s="64">
        <v>2</v>
      </c>
      <c r="G363" s="64">
        <v>44326</v>
      </c>
      <c r="H363" s="65">
        <v>45442</v>
      </c>
      <c r="I363" s="64" t="s">
        <v>15</v>
      </c>
      <c r="J363" s="64" t="s">
        <v>21</v>
      </c>
      <c r="K363" s="64" t="s">
        <v>17</v>
      </c>
      <c r="L363" s="64">
        <v>2</v>
      </c>
      <c r="M363" s="66">
        <v>0.27136014979921491</v>
      </c>
      <c r="N363" s="64">
        <v>1269.49</v>
      </c>
      <c r="O363" s="64" t="s">
        <v>22</v>
      </c>
    </row>
    <row r="364" spans="1:15" x14ac:dyDescent="0.3">
      <c r="A364" s="64">
        <v>363</v>
      </c>
      <c r="B364" s="64">
        <v>9425</v>
      </c>
      <c r="C364" s="64" t="s">
        <v>23</v>
      </c>
      <c r="D364" s="64" t="s">
        <v>14</v>
      </c>
      <c r="E364" s="64">
        <v>38991</v>
      </c>
      <c r="F364" s="64">
        <v>1</v>
      </c>
      <c r="G364" s="64">
        <v>38991</v>
      </c>
      <c r="H364" s="65">
        <v>45330</v>
      </c>
      <c r="I364" s="64" t="s">
        <v>30</v>
      </c>
      <c r="J364" s="64" t="s">
        <v>27</v>
      </c>
      <c r="K364" s="64" t="s">
        <v>17</v>
      </c>
      <c r="L364" s="64">
        <v>1.1000000000000001</v>
      </c>
      <c r="M364" s="66">
        <v>0.11751429817137288</v>
      </c>
      <c r="N364" s="64">
        <v>7115.3</v>
      </c>
      <c r="O364" s="64" t="s">
        <v>22</v>
      </c>
    </row>
    <row r="365" spans="1:15" x14ac:dyDescent="0.3">
      <c r="A365" s="64">
        <v>364</v>
      </c>
      <c r="B365" s="64">
        <v>7861</v>
      </c>
      <c r="C365" s="64" t="s">
        <v>23</v>
      </c>
      <c r="D365" s="64" t="s">
        <v>14</v>
      </c>
      <c r="E365" s="64">
        <v>13780</v>
      </c>
      <c r="F365" s="64">
        <v>2</v>
      </c>
      <c r="G365" s="64">
        <v>27560</v>
      </c>
      <c r="H365" s="65">
        <v>45421</v>
      </c>
      <c r="I365" s="64" t="s">
        <v>15</v>
      </c>
      <c r="J365" s="64" t="s">
        <v>27</v>
      </c>
      <c r="K365" s="64" t="s">
        <v>24</v>
      </c>
      <c r="L365" s="64">
        <v>2.5</v>
      </c>
      <c r="M365" s="66">
        <v>0.16583454281567489</v>
      </c>
      <c r="N365" s="64">
        <v>3697.6</v>
      </c>
      <c r="O365" s="64" t="s">
        <v>22</v>
      </c>
    </row>
    <row r="366" spans="1:15" x14ac:dyDescent="0.3">
      <c r="A366" s="64">
        <v>365</v>
      </c>
      <c r="B366" s="64">
        <v>9189</v>
      </c>
      <c r="C366" s="64" t="s">
        <v>19</v>
      </c>
      <c r="D366" s="64" t="s">
        <v>25</v>
      </c>
      <c r="E366" s="64">
        <v>18898</v>
      </c>
      <c r="F366" s="64">
        <v>2</v>
      </c>
      <c r="G366" s="64">
        <v>37796</v>
      </c>
      <c r="H366" s="65">
        <v>45505</v>
      </c>
      <c r="I366" s="64" t="s">
        <v>33</v>
      </c>
      <c r="J366" s="64" t="s">
        <v>21</v>
      </c>
      <c r="K366" s="64" t="s">
        <v>28</v>
      </c>
      <c r="L366" s="64">
        <v>4.3</v>
      </c>
      <c r="M366" s="66">
        <v>0.16494232193882949</v>
      </c>
      <c r="N366" s="64">
        <v>5104.6400000000003</v>
      </c>
      <c r="O366" s="64" t="s">
        <v>22</v>
      </c>
    </row>
    <row r="367" spans="1:15" x14ac:dyDescent="0.3">
      <c r="A367" s="64">
        <v>366</v>
      </c>
      <c r="B367" s="64">
        <v>4082</v>
      </c>
      <c r="C367" s="64" t="s">
        <v>19</v>
      </c>
      <c r="D367" s="64" t="s">
        <v>20</v>
      </c>
      <c r="E367" s="64">
        <v>34206</v>
      </c>
      <c r="F367" s="64">
        <v>2</v>
      </c>
      <c r="G367" s="64">
        <v>68412</v>
      </c>
      <c r="H367" s="65">
        <v>45302</v>
      </c>
      <c r="I367" s="64" t="s">
        <v>26</v>
      </c>
      <c r="J367" s="64" t="s">
        <v>21</v>
      </c>
      <c r="K367" s="64" t="s">
        <v>17</v>
      </c>
      <c r="L367" s="64">
        <v>2.7</v>
      </c>
      <c r="M367" s="66">
        <v>0.1231516400631468</v>
      </c>
      <c r="N367" s="64">
        <v>12098.55</v>
      </c>
      <c r="O367" s="64" t="s">
        <v>22</v>
      </c>
    </row>
    <row r="368" spans="1:15" x14ac:dyDescent="0.3">
      <c r="A368" s="64">
        <v>367</v>
      </c>
      <c r="B368" s="64">
        <v>7688</v>
      </c>
      <c r="C368" s="64" t="s">
        <v>34</v>
      </c>
      <c r="D368" s="64" t="s">
        <v>14</v>
      </c>
      <c r="E368" s="64">
        <v>22803</v>
      </c>
      <c r="F368" s="64">
        <v>4</v>
      </c>
      <c r="G368" s="64">
        <v>91212</v>
      </c>
      <c r="H368" s="65">
        <v>45398</v>
      </c>
      <c r="I368" s="64" t="s">
        <v>15</v>
      </c>
      <c r="J368" s="64" t="s">
        <v>35</v>
      </c>
      <c r="K368" s="64" t="s">
        <v>17</v>
      </c>
      <c r="L368" s="64">
        <v>4.0999999999999996</v>
      </c>
      <c r="M368" s="66">
        <v>0.29998947506906987</v>
      </c>
      <c r="N368" s="64">
        <v>0.96</v>
      </c>
      <c r="O368" s="64" t="s">
        <v>22</v>
      </c>
    </row>
    <row r="369" spans="1:15" x14ac:dyDescent="0.3">
      <c r="A369" s="64">
        <v>368</v>
      </c>
      <c r="B369" s="64">
        <v>8263</v>
      </c>
      <c r="C369" s="64" t="s">
        <v>32</v>
      </c>
      <c r="D369" s="64" t="s">
        <v>20</v>
      </c>
      <c r="E369" s="64">
        <v>8974</v>
      </c>
      <c r="F369" s="64">
        <v>5</v>
      </c>
      <c r="G369" s="64">
        <v>44870</v>
      </c>
      <c r="H369" s="65">
        <v>45534</v>
      </c>
      <c r="I369" s="64" t="s">
        <v>15</v>
      </c>
      <c r="J369" s="64" t="s">
        <v>16</v>
      </c>
      <c r="K369" s="64" t="s">
        <v>24</v>
      </c>
      <c r="L369" s="64">
        <v>1.1000000000000001</v>
      </c>
      <c r="M369" s="66">
        <v>0.1511624693559171</v>
      </c>
      <c r="N369" s="64">
        <v>6678.34</v>
      </c>
      <c r="O369" s="64" t="s">
        <v>22</v>
      </c>
    </row>
    <row r="370" spans="1:15" x14ac:dyDescent="0.3">
      <c r="A370" s="64">
        <v>369</v>
      </c>
      <c r="B370" s="64">
        <v>6436</v>
      </c>
      <c r="C370" s="64" t="s">
        <v>32</v>
      </c>
      <c r="D370" s="64" t="s">
        <v>20</v>
      </c>
      <c r="E370" s="64">
        <v>36036</v>
      </c>
      <c r="F370" s="64">
        <v>2</v>
      </c>
      <c r="G370" s="64">
        <v>72072</v>
      </c>
      <c r="H370" s="65">
        <v>45430</v>
      </c>
      <c r="I370" s="64" t="s">
        <v>15</v>
      </c>
      <c r="J370" s="64" t="s">
        <v>21</v>
      </c>
      <c r="K370" s="64" t="s">
        <v>17</v>
      </c>
      <c r="L370" s="64">
        <v>1.5</v>
      </c>
      <c r="M370" s="66">
        <v>7.1141358641358649E-2</v>
      </c>
      <c r="N370" s="64">
        <v>16494.3</v>
      </c>
      <c r="O370" s="64" t="s">
        <v>18</v>
      </c>
    </row>
    <row r="371" spans="1:15" x14ac:dyDescent="0.3">
      <c r="A371" s="64">
        <v>370</v>
      </c>
      <c r="B371" s="64">
        <v>8854</v>
      </c>
      <c r="C371" s="64" t="s">
        <v>32</v>
      </c>
      <c r="D371" s="64" t="s">
        <v>20</v>
      </c>
      <c r="E371" s="64">
        <v>30474</v>
      </c>
      <c r="F371" s="64">
        <v>2</v>
      </c>
      <c r="G371" s="64">
        <v>60948</v>
      </c>
      <c r="H371" s="65">
        <v>45303</v>
      </c>
      <c r="I371" s="64" t="s">
        <v>26</v>
      </c>
      <c r="J371" s="64" t="s">
        <v>21</v>
      </c>
      <c r="K371" s="64" t="s">
        <v>28</v>
      </c>
      <c r="L371" s="64">
        <v>4.7</v>
      </c>
      <c r="M371" s="66">
        <v>0.25429595720942444</v>
      </c>
      <c r="N371" s="64">
        <v>2785.57</v>
      </c>
      <c r="O371" s="64" t="s">
        <v>18</v>
      </c>
    </row>
    <row r="372" spans="1:15" x14ac:dyDescent="0.3">
      <c r="A372" s="64">
        <v>371</v>
      </c>
      <c r="B372" s="64">
        <v>1922</v>
      </c>
      <c r="C372" s="64" t="s">
        <v>19</v>
      </c>
      <c r="D372" s="64" t="s">
        <v>25</v>
      </c>
      <c r="E372" s="64">
        <v>3208</v>
      </c>
      <c r="F372" s="64">
        <v>4</v>
      </c>
      <c r="G372" s="64">
        <v>12832</v>
      </c>
      <c r="H372" s="65">
        <v>45372</v>
      </c>
      <c r="I372" s="64" t="s">
        <v>26</v>
      </c>
      <c r="J372" s="64" t="s">
        <v>16</v>
      </c>
      <c r="K372" s="64" t="s">
        <v>24</v>
      </c>
      <c r="L372" s="64">
        <v>3.3</v>
      </c>
      <c r="M372" s="66">
        <v>0.16089307980049875</v>
      </c>
      <c r="N372" s="64">
        <v>1785.02</v>
      </c>
      <c r="O372" s="64" t="s">
        <v>18</v>
      </c>
    </row>
    <row r="373" spans="1:15" x14ac:dyDescent="0.3">
      <c r="A373" s="64">
        <v>372</v>
      </c>
      <c r="B373" s="64">
        <v>9230</v>
      </c>
      <c r="C373" s="64" t="s">
        <v>13</v>
      </c>
      <c r="D373" s="64" t="s">
        <v>25</v>
      </c>
      <c r="E373" s="64">
        <v>40708</v>
      </c>
      <c r="F373" s="64">
        <v>4</v>
      </c>
      <c r="G373" s="64">
        <v>162832</v>
      </c>
      <c r="H373" s="65">
        <v>45497</v>
      </c>
      <c r="I373" s="64" t="s">
        <v>26</v>
      </c>
      <c r="J373" s="64" t="s">
        <v>35</v>
      </c>
      <c r="K373" s="64" t="s">
        <v>17</v>
      </c>
      <c r="L373" s="64">
        <v>4.0999999999999996</v>
      </c>
      <c r="M373" s="66">
        <v>0.14416736268055419</v>
      </c>
      <c r="N373" s="64">
        <v>25374.54</v>
      </c>
      <c r="O373" s="64" t="s">
        <v>22</v>
      </c>
    </row>
    <row r="374" spans="1:15" x14ac:dyDescent="0.3">
      <c r="A374" s="64">
        <v>373</v>
      </c>
      <c r="B374" s="64">
        <v>8684</v>
      </c>
      <c r="C374" s="64" t="s">
        <v>34</v>
      </c>
      <c r="D374" s="64" t="s">
        <v>14</v>
      </c>
      <c r="E374" s="64">
        <v>33090</v>
      </c>
      <c r="F374" s="64">
        <v>4</v>
      </c>
      <c r="G374" s="64">
        <v>132360</v>
      </c>
      <c r="H374" s="65">
        <v>45341</v>
      </c>
      <c r="I374" s="64" t="s">
        <v>33</v>
      </c>
      <c r="J374" s="64" t="s">
        <v>21</v>
      </c>
      <c r="K374" s="64" t="s">
        <v>24</v>
      </c>
      <c r="L374" s="64">
        <v>3.5</v>
      </c>
      <c r="M374" s="66">
        <v>0.23577757630704141</v>
      </c>
      <c r="N374" s="64">
        <v>8500.48</v>
      </c>
      <c r="O374" s="64" t="s">
        <v>22</v>
      </c>
    </row>
    <row r="375" spans="1:15" x14ac:dyDescent="0.3">
      <c r="A375" s="64">
        <v>374</v>
      </c>
      <c r="B375" s="64">
        <v>7188</v>
      </c>
      <c r="C375" s="64" t="s">
        <v>32</v>
      </c>
      <c r="D375" s="64" t="s">
        <v>14</v>
      </c>
      <c r="E375" s="64">
        <v>17330</v>
      </c>
      <c r="F375" s="64">
        <v>5</v>
      </c>
      <c r="G375" s="64">
        <v>86650</v>
      </c>
      <c r="H375" s="65">
        <v>45584</v>
      </c>
      <c r="I375" s="64" t="s">
        <v>15</v>
      </c>
      <c r="J375" s="64" t="s">
        <v>16</v>
      </c>
      <c r="K375" s="64" t="s">
        <v>17</v>
      </c>
      <c r="L375" s="64">
        <v>4.8</v>
      </c>
      <c r="M375" s="66">
        <v>8.6204616272360077E-2</v>
      </c>
      <c r="N375" s="64">
        <v>18525.37</v>
      </c>
      <c r="O375" s="64" t="s">
        <v>18</v>
      </c>
    </row>
    <row r="376" spans="1:15" x14ac:dyDescent="0.3">
      <c r="A376" s="64">
        <v>375</v>
      </c>
      <c r="B376" s="64">
        <v>4590</v>
      </c>
      <c r="C376" s="64" t="s">
        <v>34</v>
      </c>
      <c r="D376" s="64" t="s">
        <v>25</v>
      </c>
      <c r="E376" s="64">
        <v>47758</v>
      </c>
      <c r="F376" s="64">
        <v>1</v>
      </c>
      <c r="G376" s="64">
        <v>47758</v>
      </c>
      <c r="H376" s="65">
        <v>45577</v>
      </c>
      <c r="I376" s="64" t="s">
        <v>15</v>
      </c>
      <c r="J376" s="64" t="s">
        <v>31</v>
      </c>
      <c r="K376" s="64" t="s">
        <v>28</v>
      </c>
      <c r="L376" s="64">
        <v>3.9</v>
      </c>
      <c r="M376" s="66">
        <v>6.9727166129234894E-2</v>
      </c>
      <c r="N376" s="64">
        <v>10997.37</v>
      </c>
      <c r="O376" s="64" t="s">
        <v>18</v>
      </c>
    </row>
    <row r="377" spans="1:15" x14ac:dyDescent="0.3">
      <c r="A377" s="64">
        <v>376</v>
      </c>
      <c r="B377" s="64">
        <v>2451</v>
      </c>
      <c r="C377" s="64" t="s">
        <v>19</v>
      </c>
      <c r="D377" s="64" t="s">
        <v>14</v>
      </c>
      <c r="E377" s="64">
        <v>39732</v>
      </c>
      <c r="F377" s="64">
        <v>2</v>
      </c>
      <c r="G377" s="64">
        <v>79464</v>
      </c>
      <c r="H377" s="65">
        <v>45529</v>
      </c>
      <c r="I377" s="64" t="s">
        <v>15</v>
      </c>
      <c r="J377" s="64" t="s">
        <v>21</v>
      </c>
      <c r="K377" s="64" t="s">
        <v>28</v>
      </c>
      <c r="L377" s="64">
        <v>4</v>
      </c>
      <c r="M377" s="66">
        <v>0.20164325984093426</v>
      </c>
      <c r="N377" s="64">
        <v>7815.82</v>
      </c>
      <c r="O377" s="64" t="s">
        <v>18</v>
      </c>
    </row>
    <row r="378" spans="1:15" x14ac:dyDescent="0.3">
      <c r="A378" s="64">
        <v>377</v>
      </c>
      <c r="B378" s="64">
        <v>9438</v>
      </c>
      <c r="C378" s="64" t="s">
        <v>13</v>
      </c>
      <c r="D378" s="64" t="s">
        <v>25</v>
      </c>
      <c r="E378" s="64">
        <v>16160</v>
      </c>
      <c r="F378" s="64">
        <v>4</v>
      </c>
      <c r="G378" s="64">
        <v>64640</v>
      </c>
      <c r="H378" s="65">
        <v>45576</v>
      </c>
      <c r="I378" s="64" t="s">
        <v>15</v>
      </c>
      <c r="J378" s="64" t="s">
        <v>35</v>
      </c>
      <c r="K378" s="64" t="s">
        <v>24</v>
      </c>
      <c r="L378" s="64">
        <v>3.4</v>
      </c>
      <c r="M378" s="66">
        <v>0.20380538366336634</v>
      </c>
      <c r="N378" s="64">
        <v>6218.02</v>
      </c>
      <c r="O378" s="64" t="s">
        <v>18</v>
      </c>
    </row>
    <row r="379" spans="1:15" x14ac:dyDescent="0.3">
      <c r="A379" s="64">
        <v>378</v>
      </c>
      <c r="B379" s="64">
        <v>9660</v>
      </c>
      <c r="C379" s="64" t="s">
        <v>34</v>
      </c>
      <c r="D379" s="64" t="s">
        <v>20</v>
      </c>
      <c r="E379" s="64">
        <v>11419</v>
      </c>
      <c r="F379" s="64">
        <v>2</v>
      </c>
      <c r="G379" s="64">
        <v>22838</v>
      </c>
      <c r="H379" s="65">
        <v>45558</v>
      </c>
      <c r="I379" s="64" t="s">
        <v>15</v>
      </c>
      <c r="J379" s="64" t="s">
        <v>21</v>
      </c>
      <c r="K379" s="64" t="s">
        <v>28</v>
      </c>
      <c r="L379" s="64">
        <v>1.9</v>
      </c>
      <c r="M379" s="66">
        <v>0.26772747175759698</v>
      </c>
      <c r="N379" s="64">
        <v>737.04</v>
      </c>
      <c r="O379" s="64" t="s">
        <v>18</v>
      </c>
    </row>
    <row r="380" spans="1:15" x14ac:dyDescent="0.3">
      <c r="A380" s="64">
        <v>379</v>
      </c>
      <c r="B380" s="64">
        <v>4480</v>
      </c>
      <c r="C380" s="64" t="s">
        <v>29</v>
      </c>
      <c r="D380" s="64" t="s">
        <v>20</v>
      </c>
      <c r="E380" s="64">
        <v>18729</v>
      </c>
      <c r="F380" s="64">
        <v>2</v>
      </c>
      <c r="G380" s="64">
        <v>37458</v>
      </c>
      <c r="H380" s="65">
        <v>45540</v>
      </c>
      <c r="I380" s="64" t="s">
        <v>33</v>
      </c>
      <c r="J380" s="64" t="s">
        <v>21</v>
      </c>
      <c r="K380" s="64" t="s">
        <v>17</v>
      </c>
      <c r="L380" s="64">
        <v>3.7</v>
      </c>
      <c r="M380" s="66">
        <v>0.15313043942548987</v>
      </c>
      <c r="N380" s="64">
        <v>5501.44</v>
      </c>
      <c r="O380" s="64" t="s">
        <v>18</v>
      </c>
    </row>
    <row r="381" spans="1:15" x14ac:dyDescent="0.3">
      <c r="A381" s="64">
        <v>380</v>
      </c>
      <c r="B381" s="64">
        <v>7597</v>
      </c>
      <c r="C381" s="64" t="s">
        <v>34</v>
      </c>
      <c r="D381" s="64" t="s">
        <v>14</v>
      </c>
      <c r="E381" s="64">
        <v>42468</v>
      </c>
      <c r="F381" s="64">
        <v>3</v>
      </c>
      <c r="G381" s="64">
        <v>127404</v>
      </c>
      <c r="H381" s="65">
        <v>45406</v>
      </c>
      <c r="I381" s="64" t="s">
        <v>26</v>
      </c>
      <c r="J381" s="64" t="s">
        <v>31</v>
      </c>
      <c r="K381" s="64" t="s">
        <v>24</v>
      </c>
      <c r="L381" s="64">
        <v>3.7</v>
      </c>
      <c r="M381" s="66">
        <v>8.4408103356252553E-2</v>
      </c>
      <c r="N381" s="64">
        <v>27467.27</v>
      </c>
      <c r="O381" s="64" t="s">
        <v>18</v>
      </c>
    </row>
    <row r="382" spans="1:15" x14ac:dyDescent="0.3">
      <c r="A382" s="64">
        <v>381</v>
      </c>
      <c r="B382" s="64">
        <v>2969</v>
      </c>
      <c r="C382" s="64" t="s">
        <v>29</v>
      </c>
      <c r="D382" s="64" t="s">
        <v>20</v>
      </c>
      <c r="E382" s="64">
        <v>28373</v>
      </c>
      <c r="F382" s="64">
        <v>1</v>
      </c>
      <c r="G382" s="64">
        <v>28373</v>
      </c>
      <c r="H382" s="65">
        <v>45379</v>
      </c>
      <c r="I382" s="64" t="s">
        <v>33</v>
      </c>
      <c r="J382" s="64" t="s">
        <v>21</v>
      </c>
      <c r="K382" s="64" t="s">
        <v>17</v>
      </c>
      <c r="L382" s="64">
        <v>4.5999999999999996</v>
      </c>
      <c r="M382" s="66">
        <v>6.9519261269516797E-2</v>
      </c>
      <c r="N382" s="64">
        <v>6539.43</v>
      </c>
      <c r="O382" s="64" t="s">
        <v>18</v>
      </c>
    </row>
    <row r="383" spans="1:15" x14ac:dyDescent="0.3">
      <c r="A383" s="64">
        <v>382</v>
      </c>
      <c r="B383" s="64">
        <v>2911</v>
      </c>
      <c r="C383" s="64" t="s">
        <v>19</v>
      </c>
      <c r="D383" s="64" t="s">
        <v>25</v>
      </c>
      <c r="E383" s="64">
        <v>3823</v>
      </c>
      <c r="F383" s="64">
        <v>2</v>
      </c>
      <c r="G383" s="64">
        <v>7646</v>
      </c>
      <c r="H383" s="65">
        <v>45327</v>
      </c>
      <c r="I383" s="64" t="s">
        <v>26</v>
      </c>
      <c r="J383" s="64" t="s">
        <v>35</v>
      </c>
      <c r="K383" s="64" t="s">
        <v>17</v>
      </c>
      <c r="L383" s="64">
        <v>1.6</v>
      </c>
      <c r="M383" s="66">
        <v>8.61561600837039E-2</v>
      </c>
      <c r="N383" s="64">
        <v>1635.05</v>
      </c>
      <c r="O383" s="64" t="s">
        <v>18</v>
      </c>
    </row>
    <row r="384" spans="1:15" x14ac:dyDescent="0.3">
      <c r="A384" s="64">
        <v>383</v>
      </c>
      <c r="B384" s="64">
        <v>1037</v>
      </c>
      <c r="C384" s="64" t="s">
        <v>13</v>
      </c>
      <c r="D384" s="64" t="s">
        <v>25</v>
      </c>
      <c r="E384" s="64">
        <v>46616</v>
      </c>
      <c r="F384" s="64">
        <v>5</v>
      </c>
      <c r="G384" s="64">
        <v>233080</v>
      </c>
      <c r="H384" s="65">
        <v>45298</v>
      </c>
      <c r="I384" s="64" t="s">
        <v>33</v>
      </c>
      <c r="J384" s="64" t="s">
        <v>35</v>
      </c>
      <c r="K384" s="64" t="s">
        <v>17</v>
      </c>
      <c r="L384" s="64">
        <v>1.6</v>
      </c>
      <c r="M384" s="66">
        <v>8.8769135060923293E-2</v>
      </c>
      <c r="N384" s="64">
        <v>49233.69</v>
      </c>
      <c r="O384" s="64" t="s">
        <v>22</v>
      </c>
    </row>
    <row r="385" spans="1:15" x14ac:dyDescent="0.3">
      <c r="A385" s="64">
        <v>384</v>
      </c>
      <c r="B385" s="64">
        <v>8391</v>
      </c>
      <c r="C385" s="64" t="s">
        <v>32</v>
      </c>
      <c r="D385" s="64" t="s">
        <v>25</v>
      </c>
      <c r="E385" s="64">
        <v>34348</v>
      </c>
      <c r="F385" s="64">
        <v>4</v>
      </c>
      <c r="G385" s="64">
        <v>137392</v>
      </c>
      <c r="H385" s="65">
        <v>45628</v>
      </c>
      <c r="I385" s="64" t="s">
        <v>26</v>
      </c>
      <c r="J385" s="64" t="s">
        <v>27</v>
      </c>
      <c r="K385" s="64" t="s">
        <v>24</v>
      </c>
      <c r="L385" s="64">
        <v>2.2000000000000002</v>
      </c>
      <c r="M385" s="66">
        <v>0.19435949691393967</v>
      </c>
      <c r="N385" s="64">
        <v>14514.16</v>
      </c>
      <c r="O385" s="64" t="s">
        <v>22</v>
      </c>
    </row>
    <row r="386" spans="1:15" x14ac:dyDescent="0.3">
      <c r="A386" s="64">
        <v>385</v>
      </c>
      <c r="B386" s="64">
        <v>5476</v>
      </c>
      <c r="C386" s="64" t="s">
        <v>34</v>
      </c>
      <c r="D386" s="64" t="s">
        <v>20</v>
      </c>
      <c r="E386" s="64">
        <v>4629</v>
      </c>
      <c r="F386" s="64">
        <v>3</v>
      </c>
      <c r="G386" s="64">
        <v>13887</v>
      </c>
      <c r="H386" s="65">
        <v>45560</v>
      </c>
      <c r="I386" s="64" t="s">
        <v>33</v>
      </c>
      <c r="J386" s="64" t="s">
        <v>31</v>
      </c>
      <c r="K386" s="64" t="s">
        <v>17</v>
      </c>
      <c r="L386" s="64">
        <v>4</v>
      </c>
      <c r="M386" s="66">
        <v>0.25843810758263125</v>
      </c>
      <c r="N386" s="64">
        <v>577.16999999999996</v>
      </c>
      <c r="O386" s="64" t="s">
        <v>22</v>
      </c>
    </row>
    <row r="387" spans="1:15" x14ac:dyDescent="0.3">
      <c r="A387" s="64">
        <v>386</v>
      </c>
      <c r="B387" s="64">
        <v>7645</v>
      </c>
      <c r="C387" s="64" t="s">
        <v>32</v>
      </c>
      <c r="D387" s="64" t="s">
        <v>20</v>
      </c>
      <c r="E387" s="64">
        <v>47823</v>
      </c>
      <c r="F387" s="64">
        <v>1</v>
      </c>
      <c r="G387" s="64">
        <v>47823</v>
      </c>
      <c r="H387" s="65">
        <v>45411</v>
      </c>
      <c r="I387" s="64" t="s">
        <v>15</v>
      </c>
      <c r="J387" s="64" t="s">
        <v>27</v>
      </c>
      <c r="K387" s="64" t="s">
        <v>28</v>
      </c>
      <c r="L387" s="64">
        <v>2.2000000000000002</v>
      </c>
      <c r="M387" s="66">
        <v>0.1625494009158773</v>
      </c>
      <c r="N387" s="64">
        <v>6573.3</v>
      </c>
      <c r="O387" s="64" t="s">
        <v>18</v>
      </c>
    </row>
    <row r="388" spans="1:15" x14ac:dyDescent="0.3">
      <c r="A388" s="64">
        <v>387</v>
      </c>
      <c r="B388" s="64">
        <v>8537</v>
      </c>
      <c r="C388" s="64" t="s">
        <v>23</v>
      </c>
      <c r="D388" s="64" t="s">
        <v>25</v>
      </c>
      <c r="E388" s="64">
        <v>39377</v>
      </c>
      <c r="F388" s="64">
        <v>5</v>
      </c>
      <c r="G388" s="64">
        <v>196885</v>
      </c>
      <c r="H388" s="65">
        <v>45499</v>
      </c>
      <c r="I388" s="64" t="s">
        <v>30</v>
      </c>
      <c r="J388" s="64" t="s">
        <v>21</v>
      </c>
      <c r="K388" s="64" t="s">
        <v>17</v>
      </c>
      <c r="L388" s="64">
        <v>2.1</v>
      </c>
      <c r="M388" s="66">
        <v>0.23461924473677528</v>
      </c>
      <c r="N388" s="64">
        <v>12872.49</v>
      </c>
      <c r="O388" s="64" t="s">
        <v>18</v>
      </c>
    </row>
    <row r="389" spans="1:15" x14ac:dyDescent="0.3">
      <c r="A389" s="64">
        <v>388</v>
      </c>
      <c r="B389" s="64">
        <v>3934</v>
      </c>
      <c r="C389" s="64" t="s">
        <v>34</v>
      </c>
      <c r="D389" s="64" t="s">
        <v>20</v>
      </c>
      <c r="E389" s="64">
        <v>48838</v>
      </c>
      <c r="F389" s="64">
        <v>3</v>
      </c>
      <c r="G389" s="64">
        <v>146514</v>
      </c>
      <c r="H389" s="65">
        <v>45433</v>
      </c>
      <c r="I389" s="64" t="s">
        <v>33</v>
      </c>
      <c r="J389" s="64" t="s">
        <v>31</v>
      </c>
      <c r="K389" s="64" t="s">
        <v>24</v>
      </c>
      <c r="L389" s="64">
        <v>3.5</v>
      </c>
      <c r="M389" s="66">
        <v>7.6777236305063001E-2</v>
      </c>
      <c r="N389" s="64">
        <v>32705.26</v>
      </c>
      <c r="O389" s="64" t="s">
        <v>22</v>
      </c>
    </row>
    <row r="390" spans="1:15" x14ac:dyDescent="0.3">
      <c r="A390" s="64">
        <v>389</v>
      </c>
      <c r="B390" s="64">
        <v>7169</v>
      </c>
      <c r="C390" s="64" t="s">
        <v>34</v>
      </c>
      <c r="D390" s="64" t="s">
        <v>20</v>
      </c>
      <c r="E390" s="64">
        <v>7366</v>
      </c>
      <c r="F390" s="64">
        <v>3</v>
      </c>
      <c r="G390" s="64">
        <v>22098</v>
      </c>
      <c r="H390" s="65">
        <v>45531</v>
      </c>
      <c r="I390" s="64" t="s">
        <v>33</v>
      </c>
      <c r="J390" s="64" t="s">
        <v>21</v>
      </c>
      <c r="K390" s="64" t="s">
        <v>17</v>
      </c>
      <c r="L390" s="64">
        <v>3</v>
      </c>
      <c r="M390" s="66">
        <v>0.28987600687845055</v>
      </c>
      <c r="N390" s="64">
        <v>223.72</v>
      </c>
      <c r="O390" s="64" t="s">
        <v>18</v>
      </c>
    </row>
    <row r="391" spans="1:15" x14ac:dyDescent="0.3">
      <c r="A391" s="64">
        <v>390</v>
      </c>
      <c r="B391" s="64">
        <v>2881</v>
      </c>
      <c r="C391" s="64" t="s">
        <v>34</v>
      </c>
      <c r="D391" s="64" t="s">
        <v>25</v>
      </c>
      <c r="E391" s="64">
        <v>41169</v>
      </c>
      <c r="F391" s="64">
        <v>2</v>
      </c>
      <c r="G391" s="64">
        <v>82338</v>
      </c>
      <c r="H391" s="65">
        <v>45495</v>
      </c>
      <c r="I391" s="64" t="s">
        <v>15</v>
      </c>
      <c r="J391" s="64" t="s">
        <v>27</v>
      </c>
      <c r="K391" s="64" t="s">
        <v>24</v>
      </c>
      <c r="L391" s="64">
        <v>2.8</v>
      </c>
      <c r="M391" s="66">
        <v>7.9241662415895461E-2</v>
      </c>
      <c r="N391" s="64">
        <v>18176.8</v>
      </c>
      <c r="O391" s="64" t="s">
        <v>22</v>
      </c>
    </row>
    <row r="392" spans="1:15" x14ac:dyDescent="0.3">
      <c r="A392" s="64">
        <v>391</v>
      </c>
      <c r="B392" s="64">
        <v>9926</v>
      </c>
      <c r="C392" s="64" t="s">
        <v>34</v>
      </c>
      <c r="D392" s="64" t="s">
        <v>20</v>
      </c>
      <c r="E392" s="64">
        <v>38733</v>
      </c>
      <c r="F392" s="64">
        <v>3</v>
      </c>
      <c r="G392" s="64">
        <v>116199</v>
      </c>
      <c r="H392" s="65">
        <v>45434</v>
      </c>
      <c r="I392" s="64" t="s">
        <v>30</v>
      </c>
      <c r="J392" s="64" t="s">
        <v>16</v>
      </c>
      <c r="K392" s="64" t="s">
        <v>17</v>
      </c>
      <c r="L392" s="64">
        <v>1.3</v>
      </c>
      <c r="M392" s="66">
        <v>9.6766323290217643E-2</v>
      </c>
      <c r="N392" s="64">
        <v>23615.55</v>
      </c>
      <c r="O392" s="64" t="s">
        <v>18</v>
      </c>
    </row>
    <row r="393" spans="1:15" x14ac:dyDescent="0.3">
      <c r="A393" s="64">
        <v>392</v>
      </c>
      <c r="B393" s="64">
        <v>9246</v>
      </c>
      <c r="C393" s="64" t="s">
        <v>19</v>
      </c>
      <c r="D393" s="64" t="s">
        <v>25</v>
      </c>
      <c r="E393" s="64">
        <v>6107</v>
      </c>
      <c r="F393" s="64">
        <v>4</v>
      </c>
      <c r="G393" s="64">
        <v>24428</v>
      </c>
      <c r="H393" s="65">
        <v>45456</v>
      </c>
      <c r="I393" s="64" t="s">
        <v>15</v>
      </c>
      <c r="J393" s="64" t="s">
        <v>35</v>
      </c>
      <c r="K393" s="64" t="s">
        <v>28</v>
      </c>
      <c r="L393" s="64">
        <v>2.4</v>
      </c>
      <c r="M393" s="66">
        <v>0.1348890617324382</v>
      </c>
      <c r="N393" s="64">
        <v>4033.33</v>
      </c>
      <c r="O393" s="64" t="s">
        <v>18</v>
      </c>
    </row>
    <row r="394" spans="1:15" x14ac:dyDescent="0.3">
      <c r="A394" s="64">
        <v>393</v>
      </c>
      <c r="B394" s="64">
        <v>1431</v>
      </c>
      <c r="C394" s="64" t="s">
        <v>32</v>
      </c>
      <c r="D394" s="64" t="s">
        <v>20</v>
      </c>
      <c r="E394" s="64">
        <v>45729</v>
      </c>
      <c r="F394" s="64">
        <v>3</v>
      </c>
      <c r="G394" s="64">
        <v>137187</v>
      </c>
      <c r="H394" s="65">
        <v>45534</v>
      </c>
      <c r="I394" s="64" t="s">
        <v>33</v>
      </c>
      <c r="J394" s="64" t="s">
        <v>35</v>
      </c>
      <c r="K394" s="64" t="s">
        <v>24</v>
      </c>
      <c r="L394" s="64">
        <v>1.4</v>
      </c>
      <c r="M394" s="66">
        <v>0.29224394439706386</v>
      </c>
      <c r="N394" s="64">
        <v>1064.03</v>
      </c>
      <c r="O394" s="64" t="s">
        <v>22</v>
      </c>
    </row>
    <row r="395" spans="1:15" x14ac:dyDescent="0.3">
      <c r="A395" s="64">
        <v>394</v>
      </c>
      <c r="B395" s="64">
        <v>4028</v>
      </c>
      <c r="C395" s="64" t="s">
        <v>29</v>
      </c>
      <c r="D395" s="64" t="s">
        <v>14</v>
      </c>
      <c r="E395" s="64">
        <v>21771</v>
      </c>
      <c r="F395" s="64">
        <v>4</v>
      </c>
      <c r="G395" s="64">
        <v>87084</v>
      </c>
      <c r="H395" s="65">
        <v>45460</v>
      </c>
      <c r="I395" s="64" t="s">
        <v>30</v>
      </c>
      <c r="J395" s="64" t="s">
        <v>31</v>
      </c>
      <c r="K395" s="64" t="s">
        <v>17</v>
      </c>
      <c r="L395" s="64">
        <v>3.4</v>
      </c>
      <c r="M395" s="66">
        <v>6.2584630931055069E-2</v>
      </c>
      <c r="N395" s="64">
        <v>20675.080000000002</v>
      </c>
      <c r="O395" s="64" t="s">
        <v>18</v>
      </c>
    </row>
    <row r="396" spans="1:15" x14ac:dyDescent="0.3">
      <c r="A396" s="64">
        <v>395</v>
      </c>
      <c r="B396" s="64">
        <v>7731</v>
      </c>
      <c r="C396" s="64" t="s">
        <v>32</v>
      </c>
      <c r="D396" s="64" t="s">
        <v>25</v>
      </c>
      <c r="E396" s="64">
        <v>22015</v>
      </c>
      <c r="F396" s="64">
        <v>3</v>
      </c>
      <c r="G396" s="64">
        <v>66045</v>
      </c>
      <c r="H396" s="65">
        <v>45567</v>
      </c>
      <c r="I396" s="64" t="s">
        <v>15</v>
      </c>
      <c r="J396" s="64" t="s">
        <v>16</v>
      </c>
      <c r="K396" s="64" t="s">
        <v>24</v>
      </c>
      <c r="L396" s="64">
        <v>3.9</v>
      </c>
      <c r="M396" s="66">
        <v>0.17470224846695434</v>
      </c>
      <c r="N396" s="64">
        <v>8275.2900000000009</v>
      </c>
      <c r="O396" s="64" t="s">
        <v>18</v>
      </c>
    </row>
    <row r="397" spans="1:15" x14ac:dyDescent="0.3">
      <c r="A397" s="64">
        <v>396</v>
      </c>
      <c r="B397" s="64">
        <v>3976</v>
      </c>
      <c r="C397" s="64" t="s">
        <v>23</v>
      </c>
      <c r="D397" s="64" t="s">
        <v>14</v>
      </c>
      <c r="E397" s="64">
        <v>14977</v>
      </c>
      <c r="F397" s="64">
        <v>2</v>
      </c>
      <c r="G397" s="64">
        <v>29954</v>
      </c>
      <c r="H397" s="65">
        <v>45430</v>
      </c>
      <c r="I397" s="64" t="s">
        <v>15</v>
      </c>
      <c r="J397" s="64" t="s">
        <v>31</v>
      </c>
      <c r="K397" s="64" t="s">
        <v>17</v>
      </c>
      <c r="L397" s="64">
        <v>1.3</v>
      </c>
      <c r="M397" s="66">
        <v>0.10729852440408627</v>
      </c>
      <c r="N397" s="64">
        <v>5772.18</v>
      </c>
      <c r="O397" s="64" t="s">
        <v>18</v>
      </c>
    </row>
    <row r="398" spans="1:15" x14ac:dyDescent="0.3">
      <c r="A398" s="64">
        <v>397</v>
      </c>
      <c r="B398" s="64">
        <v>5636</v>
      </c>
      <c r="C398" s="64" t="s">
        <v>23</v>
      </c>
      <c r="D398" s="64" t="s">
        <v>14</v>
      </c>
      <c r="E398" s="64">
        <v>34978</v>
      </c>
      <c r="F398" s="64">
        <v>4</v>
      </c>
      <c r="G398" s="64">
        <v>139912</v>
      </c>
      <c r="H398" s="65">
        <v>45431</v>
      </c>
      <c r="I398" s="64" t="s">
        <v>15</v>
      </c>
      <c r="J398" s="64" t="s">
        <v>21</v>
      </c>
      <c r="K398" s="64" t="s">
        <v>28</v>
      </c>
      <c r="L398" s="64">
        <v>3.2</v>
      </c>
      <c r="M398" s="66">
        <v>0.10305484876207903</v>
      </c>
      <c r="N398" s="64">
        <v>27554.99</v>
      </c>
      <c r="O398" s="64" t="s">
        <v>22</v>
      </c>
    </row>
    <row r="399" spans="1:15" x14ac:dyDescent="0.3">
      <c r="A399" s="64">
        <v>398</v>
      </c>
      <c r="B399" s="64">
        <v>4809</v>
      </c>
      <c r="C399" s="64" t="s">
        <v>23</v>
      </c>
      <c r="D399" s="64" t="s">
        <v>25</v>
      </c>
      <c r="E399" s="64">
        <v>19170</v>
      </c>
      <c r="F399" s="64">
        <v>5</v>
      </c>
      <c r="G399" s="64">
        <v>95850</v>
      </c>
      <c r="H399" s="65">
        <v>45593</v>
      </c>
      <c r="I399" s="64" t="s">
        <v>30</v>
      </c>
      <c r="J399" s="64" t="s">
        <v>27</v>
      </c>
      <c r="K399" s="64" t="s">
        <v>17</v>
      </c>
      <c r="L399" s="64">
        <v>2</v>
      </c>
      <c r="M399" s="66">
        <v>0.10521637976004172</v>
      </c>
      <c r="N399" s="64">
        <v>18670.009999999998</v>
      </c>
      <c r="O399" s="64" t="s">
        <v>18</v>
      </c>
    </row>
    <row r="400" spans="1:15" x14ac:dyDescent="0.3">
      <c r="A400" s="64">
        <v>399</v>
      </c>
      <c r="B400" s="64">
        <v>7061</v>
      </c>
      <c r="C400" s="64" t="s">
        <v>34</v>
      </c>
      <c r="D400" s="64" t="s">
        <v>20</v>
      </c>
      <c r="E400" s="64">
        <v>36557</v>
      </c>
      <c r="F400" s="64">
        <v>1</v>
      </c>
      <c r="G400" s="64">
        <v>36557</v>
      </c>
      <c r="H400" s="65">
        <v>45609</v>
      </c>
      <c r="I400" s="64" t="s">
        <v>26</v>
      </c>
      <c r="J400" s="64" t="s">
        <v>27</v>
      </c>
      <c r="K400" s="64" t="s">
        <v>28</v>
      </c>
      <c r="L400" s="64">
        <v>3.2</v>
      </c>
      <c r="M400" s="66">
        <v>0.26744672702902317</v>
      </c>
      <c r="N400" s="64">
        <v>1190.05</v>
      </c>
      <c r="O400" s="64" t="s">
        <v>22</v>
      </c>
    </row>
    <row r="401" spans="1:15" x14ac:dyDescent="0.3">
      <c r="A401" s="64">
        <v>400</v>
      </c>
      <c r="B401" s="64">
        <v>5728</v>
      </c>
      <c r="C401" s="64" t="s">
        <v>19</v>
      </c>
      <c r="D401" s="64" t="s">
        <v>25</v>
      </c>
      <c r="E401" s="64">
        <v>23293</v>
      </c>
      <c r="F401" s="64">
        <v>5</v>
      </c>
      <c r="G401" s="64">
        <v>116465</v>
      </c>
      <c r="H401" s="65">
        <v>45565</v>
      </c>
      <c r="I401" s="64" t="s">
        <v>33</v>
      </c>
      <c r="J401" s="64" t="s">
        <v>21</v>
      </c>
      <c r="K401" s="64" t="s">
        <v>24</v>
      </c>
      <c r="L401" s="64">
        <v>3.9</v>
      </c>
      <c r="M401" s="66">
        <v>0.10972386553900314</v>
      </c>
      <c r="N401" s="64">
        <v>22160.51</v>
      </c>
      <c r="O401" s="64" t="s">
        <v>22</v>
      </c>
    </row>
    <row r="402" spans="1:15" x14ac:dyDescent="0.3">
      <c r="A402" s="64">
        <v>401</v>
      </c>
      <c r="B402" s="64">
        <v>3244</v>
      </c>
      <c r="C402" s="64" t="s">
        <v>19</v>
      </c>
      <c r="D402" s="64" t="s">
        <v>20</v>
      </c>
      <c r="E402" s="64">
        <v>19283</v>
      </c>
      <c r="F402" s="64">
        <v>1</v>
      </c>
      <c r="G402" s="64">
        <v>19283</v>
      </c>
      <c r="H402" s="65">
        <v>45542</v>
      </c>
      <c r="I402" s="64" t="s">
        <v>30</v>
      </c>
      <c r="J402" s="64" t="s">
        <v>16</v>
      </c>
      <c r="K402" s="64" t="s">
        <v>24</v>
      </c>
      <c r="L402" s="64">
        <v>2.5</v>
      </c>
      <c r="M402" s="66">
        <v>9.780428356583519E-2</v>
      </c>
      <c r="N402" s="64">
        <v>3898.94</v>
      </c>
      <c r="O402" s="64" t="s">
        <v>18</v>
      </c>
    </row>
    <row r="403" spans="1:15" x14ac:dyDescent="0.3">
      <c r="A403" s="64">
        <v>402</v>
      </c>
      <c r="B403" s="64">
        <v>8181</v>
      </c>
      <c r="C403" s="64" t="s">
        <v>23</v>
      </c>
      <c r="D403" s="64" t="s">
        <v>14</v>
      </c>
      <c r="E403" s="64">
        <v>30223</v>
      </c>
      <c r="F403" s="64">
        <v>1</v>
      </c>
      <c r="G403" s="64">
        <v>30223</v>
      </c>
      <c r="H403" s="65">
        <v>45590</v>
      </c>
      <c r="I403" s="64" t="s">
        <v>15</v>
      </c>
      <c r="J403" s="64" t="s">
        <v>16</v>
      </c>
      <c r="K403" s="64" t="s">
        <v>24</v>
      </c>
      <c r="L403" s="64">
        <v>4.7</v>
      </c>
      <c r="M403" s="66">
        <v>0.29667008569632403</v>
      </c>
      <c r="N403" s="64">
        <v>100.64</v>
      </c>
      <c r="O403" s="64" t="s">
        <v>22</v>
      </c>
    </row>
    <row r="404" spans="1:15" x14ac:dyDescent="0.3">
      <c r="A404" s="64">
        <v>403</v>
      </c>
      <c r="B404" s="64">
        <v>7945</v>
      </c>
      <c r="C404" s="64" t="s">
        <v>19</v>
      </c>
      <c r="D404" s="64" t="s">
        <v>25</v>
      </c>
      <c r="E404" s="64">
        <v>13709</v>
      </c>
      <c r="F404" s="64">
        <v>5</v>
      </c>
      <c r="G404" s="64">
        <v>68545</v>
      </c>
      <c r="H404" s="65">
        <v>45572</v>
      </c>
      <c r="I404" s="64" t="s">
        <v>26</v>
      </c>
      <c r="J404" s="64" t="s">
        <v>31</v>
      </c>
      <c r="K404" s="64" t="s">
        <v>28</v>
      </c>
      <c r="L404" s="64">
        <v>3</v>
      </c>
      <c r="M404" s="66">
        <v>0.25046728426581077</v>
      </c>
      <c r="N404" s="64">
        <v>3395.22</v>
      </c>
      <c r="O404" s="64" t="s">
        <v>18</v>
      </c>
    </row>
    <row r="405" spans="1:15" x14ac:dyDescent="0.3">
      <c r="A405" s="64">
        <v>404</v>
      </c>
      <c r="B405" s="64">
        <v>4646</v>
      </c>
      <c r="C405" s="64" t="s">
        <v>13</v>
      </c>
      <c r="D405" s="64" t="s">
        <v>25</v>
      </c>
      <c r="E405" s="64">
        <v>3203</v>
      </c>
      <c r="F405" s="64">
        <v>2</v>
      </c>
      <c r="G405" s="64">
        <v>6406</v>
      </c>
      <c r="H405" s="65">
        <v>45563</v>
      </c>
      <c r="I405" s="64" t="s">
        <v>26</v>
      </c>
      <c r="J405" s="64" t="s">
        <v>27</v>
      </c>
      <c r="K405" s="64" t="s">
        <v>28</v>
      </c>
      <c r="L405" s="64">
        <v>1.5</v>
      </c>
      <c r="M405" s="66">
        <v>0.2682516390883547</v>
      </c>
      <c r="N405" s="64">
        <v>203.38</v>
      </c>
      <c r="O405" s="64" t="s">
        <v>22</v>
      </c>
    </row>
    <row r="406" spans="1:15" x14ac:dyDescent="0.3">
      <c r="A406" s="64">
        <v>405</v>
      </c>
      <c r="B406" s="64">
        <v>1737</v>
      </c>
      <c r="C406" s="64" t="s">
        <v>34</v>
      </c>
      <c r="D406" s="64" t="s">
        <v>14</v>
      </c>
      <c r="E406" s="64">
        <v>686</v>
      </c>
      <c r="F406" s="64">
        <v>4</v>
      </c>
      <c r="G406" s="64">
        <v>2744</v>
      </c>
      <c r="H406" s="65">
        <v>45296</v>
      </c>
      <c r="I406" s="64" t="s">
        <v>30</v>
      </c>
      <c r="J406" s="64" t="s">
        <v>21</v>
      </c>
      <c r="K406" s="64" t="s">
        <v>24</v>
      </c>
      <c r="L406" s="64">
        <v>1.5</v>
      </c>
      <c r="M406" s="66">
        <v>0.15334912536443149</v>
      </c>
      <c r="N406" s="64">
        <v>402.41</v>
      </c>
      <c r="O406" s="64" t="s">
        <v>18</v>
      </c>
    </row>
    <row r="407" spans="1:15" x14ac:dyDescent="0.3">
      <c r="A407" s="64">
        <v>406</v>
      </c>
      <c r="B407" s="64">
        <v>7838</v>
      </c>
      <c r="C407" s="64" t="s">
        <v>34</v>
      </c>
      <c r="D407" s="64" t="s">
        <v>25</v>
      </c>
      <c r="E407" s="64">
        <v>10117</v>
      </c>
      <c r="F407" s="64">
        <v>4</v>
      </c>
      <c r="G407" s="64">
        <v>40468</v>
      </c>
      <c r="H407" s="65">
        <v>45526</v>
      </c>
      <c r="I407" s="64" t="s">
        <v>33</v>
      </c>
      <c r="J407" s="64" t="s">
        <v>31</v>
      </c>
      <c r="K407" s="64" t="s">
        <v>24</v>
      </c>
      <c r="L407" s="64">
        <v>2.6</v>
      </c>
      <c r="M407" s="66">
        <v>0.26628175348423444</v>
      </c>
      <c r="N407" s="64">
        <v>1364.51</v>
      </c>
      <c r="O407" s="64" t="s">
        <v>22</v>
      </c>
    </row>
    <row r="408" spans="1:15" x14ac:dyDescent="0.3">
      <c r="A408" s="64">
        <v>407</v>
      </c>
      <c r="B408" s="64">
        <v>8309</v>
      </c>
      <c r="C408" s="64" t="s">
        <v>19</v>
      </c>
      <c r="D408" s="64" t="s">
        <v>25</v>
      </c>
      <c r="E408" s="64">
        <v>6786</v>
      </c>
      <c r="F408" s="64">
        <v>4</v>
      </c>
      <c r="G408" s="64">
        <v>27144</v>
      </c>
      <c r="H408" s="65">
        <v>45635</v>
      </c>
      <c r="I408" s="64" t="s">
        <v>30</v>
      </c>
      <c r="J408" s="64" t="s">
        <v>27</v>
      </c>
      <c r="K408" s="64" t="s">
        <v>24</v>
      </c>
      <c r="L408" s="64">
        <v>3.2</v>
      </c>
      <c r="M408" s="66">
        <v>0.24954207191276156</v>
      </c>
      <c r="N408" s="64">
        <v>1369.63</v>
      </c>
      <c r="O408" s="64" t="s">
        <v>22</v>
      </c>
    </row>
    <row r="409" spans="1:15" x14ac:dyDescent="0.3">
      <c r="A409" s="64">
        <v>408</v>
      </c>
      <c r="B409" s="64">
        <v>9982</v>
      </c>
      <c r="C409" s="64" t="s">
        <v>32</v>
      </c>
      <c r="D409" s="64" t="s">
        <v>14</v>
      </c>
      <c r="E409" s="64">
        <v>24364</v>
      </c>
      <c r="F409" s="64">
        <v>4</v>
      </c>
      <c r="G409" s="64">
        <v>97456</v>
      </c>
      <c r="H409" s="65">
        <v>45579</v>
      </c>
      <c r="I409" s="64" t="s">
        <v>33</v>
      </c>
      <c r="J409" s="64" t="s">
        <v>21</v>
      </c>
      <c r="K409" s="64" t="s">
        <v>28</v>
      </c>
      <c r="L409" s="64">
        <v>3.8</v>
      </c>
      <c r="M409" s="66">
        <v>0.27525242160564767</v>
      </c>
      <c r="N409" s="64">
        <v>2411.8000000000002</v>
      </c>
      <c r="O409" s="64" t="s">
        <v>18</v>
      </c>
    </row>
    <row r="410" spans="1:15" x14ac:dyDescent="0.3">
      <c r="A410" s="64">
        <v>409</v>
      </c>
      <c r="B410" s="64">
        <v>8128</v>
      </c>
      <c r="C410" s="64" t="s">
        <v>29</v>
      </c>
      <c r="D410" s="64" t="s">
        <v>14</v>
      </c>
      <c r="E410" s="64">
        <v>1822</v>
      </c>
      <c r="F410" s="64">
        <v>4</v>
      </c>
      <c r="G410" s="64">
        <v>7288</v>
      </c>
      <c r="H410" s="65">
        <v>45308</v>
      </c>
      <c r="I410" s="64" t="s">
        <v>26</v>
      </c>
      <c r="J410" s="64" t="s">
        <v>35</v>
      </c>
      <c r="K410" s="64" t="s">
        <v>17</v>
      </c>
      <c r="L410" s="64">
        <v>4.0999999999999996</v>
      </c>
      <c r="M410" s="66">
        <v>0.29569703622392973</v>
      </c>
      <c r="N410" s="64">
        <v>31.36</v>
      </c>
      <c r="O410" s="64" t="s">
        <v>22</v>
      </c>
    </row>
    <row r="411" spans="1:15" x14ac:dyDescent="0.3">
      <c r="A411" s="64">
        <v>410</v>
      </c>
      <c r="B411" s="64">
        <v>7747</v>
      </c>
      <c r="C411" s="64" t="s">
        <v>19</v>
      </c>
      <c r="D411" s="64" t="s">
        <v>20</v>
      </c>
      <c r="E411" s="64">
        <v>35802</v>
      </c>
      <c r="F411" s="64">
        <v>3</v>
      </c>
      <c r="G411" s="64">
        <v>107406</v>
      </c>
      <c r="H411" s="65">
        <v>45487</v>
      </c>
      <c r="I411" s="64" t="s">
        <v>33</v>
      </c>
      <c r="J411" s="64" t="s">
        <v>35</v>
      </c>
      <c r="K411" s="64" t="s">
        <v>17</v>
      </c>
      <c r="L411" s="64">
        <v>2.2999999999999998</v>
      </c>
      <c r="M411" s="66">
        <v>5.277749846377297E-2</v>
      </c>
      <c r="N411" s="64">
        <v>26553.18</v>
      </c>
      <c r="O411" s="64" t="s">
        <v>22</v>
      </c>
    </row>
    <row r="412" spans="1:15" x14ac:dyDescent="0.3">
      <c r="A412" s="64">
        <v>411</v>
      </c>
      <c r="B412" s="64">
        <v>8532</v>
      </c>
      <c r="C412" s="64" t="s">
        <v>34</v>
      </c>
      <c r="D412" s="64" t="s">
        <v>20</v>
      </c>
      <c r="E412" s="64">
        <v>13767</v>
      </c>
      <c r="F412" s="64">
        <v>4</v>
      </c>
      <c r="G412" s="64">
        <v>55068</v>
      </c>
      <c r="H412" s="65">
        <v>45374</v>
      </c>
      <c r="I412" s="64" t="s">
        <v>33</v>
      </c>
      <c r="J412" s="64" t="s">
        <v>16</v>
      </c>
      <c r="K412" s="64" t="s">
        <v>17</v>
      </c>
      <c r="L412" s="64">
        <v>3.4</v>
      </c>
      <c r="M412" s="66">
        <v>0.26950915232076705</v>
      </c>
      <c r="N412" s="64">
        <v>1679.07</v>
      </c>
      <c r="O412" s="64" t="s">
        <v>18</v>
      </c>
    </row>
    <row r="413" spans="1:15" x14ac:dyDescent="0.3">
      <c r="A413" s="64">
        <v>412</v>
      </c>
      <c r="B413" s="64">
        <v>4692</v>
      </c>
      <c r="C413" s="64" t="s">
        <v>13</v>
      </c>
      <c r="D413" s="64" t="s">
        <v>14</v>
      </c>
      <c r="E413" s="64">
        <v>30355</v>
      </c>
      <c r="F413" s="64">
        <v>4</v>
      </c>
      <c r="G413" s="64">
        <v>121420</v>
      </c>
      <c r="H413" s="65">
        <v>45616</v>
      </c>
      <c r="I413" s="64" t="s">
        <v>15</v>
      </c>
      <c r="J413" s="64" t="s">
        <v>21</v>
      </c>
      <c r="K413" s="64" t="s">
        <v>28</v>
      </c>
      <c r="L413" s="64">
        <v>3.5</v>
      </c>
      <c r="M413" s="66">
        <v>0.29946236204908583</v>
      </c>
      <c r="N413" s="64">
        <v>65.28</v>
      </c>
      <c r="O413" s="64" t="s">
        <v>18</v>
      </c>
    </row>
    <row r="414" spans="1:15" x14ac:dyDescent="0.3">
      <c r="A414" s="64">
        <v>413</v>
      </c>
      <c r="B414" s="64">
        <v>5451</v>
      </c>
      <c r="C414" s="64" t="s">
        <v>32</v>
      </c>
      <c r="D414" s="64" t="s">
        <v>14</v>
      </c>
      <c r="E414" s="64">
        <v>32450</v>
      </c>
      <c r="F414" s="64">
        <v>3</v>
      </c>
      <c r="G414" s="64">
        <v>97350</v>
      </c>
      <c r="H414" s="65">
        <v>45421</v>
      </c>
      <c r="I414" s="64" t="s">
        <v>33</v>
      </c>
      <c r="J414" s="64" t="s">
        <v>21</v>
      </c>
      <c r="K414" s="64" t="s">
        <v>17</v>
      </c>
      <c r="L414" s="64">
        <v>3.7</v>
      </c>
      <c r="M414" s="66">
        <v>0.14101592193117615</v>
      </c>
      <c r="N414" s="64">
        <v>15477.1</v>
      </c>
      <c r="O414" s="64" t="s">
        <v>22</v>
      </c>
    </row>
    <row r="415" spans="1:15" x14ac:dyDescent="0.3">
      <c r="A415" s="64">
        <v>414</v>
      </c>
      <c r="B415" s="64">
        <v>7984</v>
      </c>
      <c r="C415" s="64" t="s">
        <v>19</v>
      </c>
      <c r="D415" s="64" t="s">
        <v>20</v>
      </c>
      <c r="E415" s="64">
        <v>11502</v>
      </c>
      <c r="F415" s="64">
        <v>1</v>
      </c>
      <c r="G415" s="64">
        <v>11502</v>
      </c>
      <c r="H415" s="65">
        <v>45603</v>
      </c>
      <c r="I415" s="64" t="s">
        <v>33</v>
      </c>
      <c r="J415" s="64" t="s">
        <v>16</v>
      </c>
      <c r="K415" s="64" t="s">
        <v>17</v>
      </c>
      <c r="L415" s="64">
        <v>3.9</v>
      </c>
      <c r="M415" s="66">
        <v>0.1092679533994088</v>
      </c>
      <c r="N415" s="64">
        <v>2193.8000000000002</v>
      </c>
      <c r="O415" s="64" t="s">
        <v>18</v>
      </c>
    </row>
    <row r="416" spans="1:15" x14ac:dyDescent="0.3">
      <c r="A416" s="64">
        <v>415</v>
      </c>
      <c r="B416" s="64">
        <v>4146</v>
      </c>
      <c r="C416" s="64" t="s">
        <v>29</v>
      </c>
      <c r="D416" s="64" t="s">
        <v>25</v>
      </c>
      <c r="E416" s="64">
        <v>23027</v>
      </c>
      <c r="F416" s="64">
        <v>4</v>
      </c>
      <c r="G416" s="64">
        <v>92108</v>
      </c>
      <c r="H416" s="65">
        <v>45433</v>
      </c>
      <c r="I416" s="64" t="s">
        <v>15</v>
      </c>
      <c r="J416" s="64" t="s">
        <v>27</v>
      </c>
      <c r="K416" s="64" t="s">
        <v>17</v>
      </c>
      <c r="L416" s="64">
        <v>2.4</v>
      </c>
      <c r="M416" s="66">
        <v>0.10703956225300734</v>
      </c>
      <c r="N416" s="64">
        <v>17773.2</v>
      </c>
      <c r="O416" s="64" t="s">
        <v>18</v>
      </c>
    </row>
    <row r="417" spans="1:15" x14ac:dyDescent="0.3">
      <c r="A417" s="64">
        <v>416</v>
      </c>
      <c r="B417" s="64">
        <v>9329</v>
      </c>
      <c r="C417" s="64" t="s">
        <v>19</v>
      </c>
      <c r="D417" s="64" t="s">
        <v>20</v>
      </c>
      <c r="E417" s="64">
        <v>33189</v>
      </c>
      <c r="F417" s="64">
        <v>2</v>
      </c>
      <c r="G417" s="64">
        <v>66378</v>
      </c>
      <c r="H417" s="65">
        <v>45514</v>
      </c>
      <c r="I417" s="64" t="s">
        <v>33</v>
      </c>
      <c r="J417" s="64" t="s">
        <v>27</v>
      </c>
      <c r="K417" s="64" t="s">
        <v>28</v>
      </c>
      <c r="L417" s="64">
        <v>5</v>
      </c>
      <c r="M417" s="66">
        <v>0.27159344963692794</v>
      </c>
      <c r="N417" s="64">
        <v>1885.57</v>
      </c>
      <c r="O417" s="64" t="s">
        <v>18</v>
      </c>
    </row>
    <row r="418" spans="1:15" x14ac:dyDescent="0.3">
      <c r="A418" s="64">
        <v>417</v>
      </c>
      <c r="B418" s="64">
        <v>4922</v>
      </c>
      <c r="C418" s="64" t="s">
        <v>19</v>
      </c>
      <c r="D418" s="64" t="s">
        <v>14</v>
      </c>
      <c r="E418" s="64">
        <v>7404</v>
      </c>
      <c r="F418" s="64">
        <v>1</v>
      </c>
      <c r="G418" s="64">
        <v>7404</v>
      </c>
      <c r="H418" s="65">
        <v>45531</v>
      </c>
      <c r="I418" s="64" t="s">
        <v>15</v>
      </c>
      <c r="J418" s="64" t="s">
        <v>16</v>
      </c>
      <c r="K418" s="64" t="s">
        <v>28</v>
      </c>
      <c r="L418" s="64">
        <v>2.1</v>
      </c>
      <c r="M418" s="66">
        <v>0.20730821177741762</v>
      </c>
      <c r="N418" s="64">
        <v>686.29</v>
      </c>
      <c r="O418" s="64" t="s">
        <v>22</v>
      </c>
    </row>
    <row r="419" spans="1:15" x14ac:dyDescent="0.3">
      <c r="A419" s="64">
        <v>418</v>
      </c>
      <c r="B419" s="64">
        <v>2750</v>
      </c>
      <c r="C419" s="64" t="s">
        <v>29</v>
      </c>
      <c r="D419" s="64" t="s">
        <v>25</v>
      </c>
      <c r="E419" s="64">
        <v>7658</v>
      </c>
      <c r="F419" s="64">
        <v>3</v>
      </c>
      <c r="G419" s="64">
        <v>22974</v>
      </c>
      <c r="H419" s="65">
        <v>45340</v>
      </c>
      <c r="I419" s="64" t="s">
        <v>15</v>
      </c>
      <c r="J419" s="64" t="s">
        <v>27</v>
      </c>
      <c r="K419" s="64" t="s">
        <v>28</v>
      </c>
      <c r="L419" s="64">
        <v>3.5</v>
      </c>
      <c r="M419" s="66">
        <v>0.22986637067989901</v>
      </c>
      <c r="N419" s="64">
        <v>1611.25</v>
      </c>
      <c r="O419" s="64" t="s">
        <v>22</v>
      </c>
    </row>
    <row r="420" spans="1:15" x14ac:dyDescent="0.3">
      <c r="A420" s="64">
        <v>419</v>
      </c>
      <c r="B420" s="64">
        <v>1614</v>
      </c>
      <c r="C420" s="64" t="s">
        <v>29</v>
      </c>
      <c r="D420" s="64" t="s">
        <v>14</v>
      </c>
      <c r="E420" s="64">
        <v>39604</v>
      </c>
      <c r="F420" s="64">
        <v>2</v>
      </c>
      <c r="G420" s="64">
        <v>79208</v>
      </c>
      <c r="H420" s="65">
        <v>45414</v>
      </c>
      <c r="I420" s="64" t="s">
        <v>30</v>
      </c>
      <c r="J420" s="64" t="s">
        <v>27</v>
      </c>
      <c r="K420" s="64" t="s">
        <v>24</v>
      </c>
      <c r="L420" s="64">
        <v>4.7</v>
      </c>
      <c r="M420" s="66">
        <v>0.19494457630542369</v>
      </c>
      <c r="N420" s="64">
        <v>8321.23</v>
      </c>
      <c r="O420" s="64" t="s">
        <v>18</v>
      </c>
    </row>
    <row r="421" spans="1:15" x14ac:dyDescent="0.3">
      <c r="A421" s="64">
        <v>420</v>
      </c>
      <c r="B421" s="64">
        <v>9079</v>
      </c>
      <c r="C421" s="64" t="s">
        <v>19</v>
      </c>
      <c r="D421" s="64" t="s">
        <v>14</v>
      </c>
      <c r="E421" s="64">
        <v>32700</v>
      </c>
      <c r="F421" s="64">
        <v>4</v>
      </c>
      <c r="G421" s="64">
        <v>130800</v>
      </c>
      <c r="H421" s="65">
        <v>45369</v>
      </c>
      <c r="I421" s="64" t="s">
        <v>33</v>
      </c>
      <c r="J421" s="64" t="s">
        <v>16</v>
      </c>
      <c r="K421" s="64" t="s">
        <v>17</v>
      </c>
      <c r="L421" s="64">
        <v>4.9000000000000004</v>
      </c>
      <c r="M421" s="66">
        <v>0.2228961009174312</v>
      </c>
      <c r="N421" s="64">
        <v>10085.19</v>
      </c>
      <c r="O421" s="64" t="s">
        <v>22</v>
      </c>
    </row>
    <row r="422" spans="1:15" x14ac:dyDescent="0.3">
      <c r="A422" s="64">
        <v>421</v>
      </c>
      <c r="B422" s="64">
        <v>7282</v>
      </c>
      <c r="C422" s="64" t="s">
        <v>34</v>
      </c>
      <c r="D422" s="64" t="s">
        <v>14</v>
      </c>
      <c r="E422" s="64">
        <v>44100</v>
      </c>
      <c r="F422" s="64">
        <v>1</v>
      </c>
      <c r="G422" s="64">
        <v>44100</v>
      </c>
      <c r="H422" s="65">
        <v>45333</v>
      </c>
      <c r="I422" s="64" t="s">
        <v>26</v>
      </c>
      <c r="J422" s="64" t="s">
        <v>27</v>
      </c>
      <c r="K422" s="64" t="s">
        <v>17</v>
      </c>
      <c r="L422" s="64">
        <v>3.4</v>
      </c>
      <c r="M422" s="66">
        <v>0.26219637188208617</v>
      </c>
      <c r="N422" s="64">
        <v>1667.14</v>
      </c>
      <c r="O422" s="64" t="s">
        <v>18</v>
      </c>
    </row>
    <row r="423" spans="1:15" x14ac:dyDescent="0.3">
      <c r="A423" s="64">
        <v>422</v>
      </c>
      <c r="B423" s="64">
        <v>4098</v>
      </c>
      <c r="C423" s="64" t="s">
        <v>23</v>
      </c>
      <c r="D423" s="64" t="s">
        <v>25</v>
      </c>
      <c r="E423" s="64">
        <v>46685</v>
      </c>
      <c r="F423" s="64">
        <v>5</v>
      </c>
      <c r="G423" s="64">
        <v>233425</v>
      </c>
      <c r="H423" s="65">
        <v>45338</v>
      </c>
      <c r="I423" s="64" t="s">
        <v>33</v>
      </c>
      <c r="J423" s="64" t="s">
        <v>21</v>
      </c>
      <c r="K423" s="64" t="s">
        <v>17</v>
      </c>
      <c r="L423" s="64">
        <v>3</v>
      </c>
      <c r="M423" s="66">
        <v>0.20090363071650424</v>
      </c>
      <c r="N423" s="64">
        <v>23131.57</v>
      </c>
      <c r="O423" s="64" t="s">
        <v>18</v>
      </c>
    </row>
    <row r="424" spans="1:15" x14ac:dyDescent="0.3">
      <c r="A424" s="64">
        <v>423</v>
      </c>
      <c r="B424" s="64">
        <v>1501</v>
      </c>
      <c r="C424" s="64" t="s">
        <v>23</v>
      </c>
      <c r="D424" s="64" t="s">
        <v>20</v>
      </c>
      <c r="E424" s="64">
        <v>18836</v>
      </c>
      <c r="F424" s="64">
        <v>5</v>
      </c>
      <c r="G424" s="64">
        <v>94180</v>
      </c>
      <c r="H424" s="65">
        <v>45644</v>
      </c>
      <c r="I424" s="64" t="s">
        <v>30</v>
      </c>
      <c r="J424" s="64" t="s">
        <v>16</v>
      </c>
      <c r="K424" s="64" t="s">
        <v>24</v>
      </c>
      <c r="L424" s="64">
        <v>3.3</v>
      </c>
      <c r="M424" s="66">
        <v>0.22362752176682948</v>
      </c>
      <c r="N424" s="64">
        <v>7192.76</v>
      </c>
      <c r="O424" s="64" t="s">
        <v>22</v>
      </c>
    </row>
    <row r="425" spans="1:15" x14ac:dyDescent="0.3">
      <c r="A425" s="64">
        <v>424</v>
      </c>
      <c r="B425" s="64">
        <v>3024</v>
      </c>
      <c r="C425" s="64" t="s">
        <v>34</v>
      </c>
      <c r="D425" s="64" t="s">
        <v>25</v>
      </c>
      <c r="E425" s="64">
        <v>21626</v>
      </c>
      <c r="F425" s="64">
        <v>4</v>
      </c>
      <c r="G425" s="64">
        <v>86504</v>
      </c>
      <c r="H425" s="65">
        <v>45633</v>
      </c>
      <c r="I425" s="64" t="s">
        <v>26</v>
      </c>
      <c r="J425" s="64" t="s">
        <v>35</v>
      </c>
      <c r="K425" s="64" t="s">
        <v>28</v>
      </c>
      <c r="L425" s="64">
        <v>3.7</v>
      </c>
      <c r="M425" s="66">
        <v>0.22626664662905763</v>
      </c>
      <c r="N425" s="64">
        <v>6378.23</v>
      </c>
      <c r="O425" s="64" t="s">
        <v>22</v>
      </c>
    </row>
    <row r="426" spans="1:15" x14ac:dyDescent="0.3">
      <c r="A426" s="64">
        <v>425</v>
      </c>
      <c r="B426" s="64">
        <v>6034</v>
      </c>
      <c r="C426" s="64" t="s">
        <v>19</v>
      </c>
      <c r="D426" s="64" t="s">
        <v>25</v>
      </c>
      <c r="E426" s="64">
        <v>19377</v>
      </c>
      <c r="F426" s="64">
        <v>5</v>
      </c>
      <c r="G426" s="64">
        <v>96885</v>
      </c>
      <c r="H426" s="65">
        <v>45528</v>
      </c>
      <c r="I426" s="64" t="s">
        <v>26</v>
      </c>
      <c r="J426" s="64" t="s">
        <v>35</v>
      </c>
      <c r="K426" s="64" t="s">
        <v>24</v>
      </c>
      <c r="L426" s="64">
        <v>3</v>
      </c>
      <c r="M426" s="66">
        <v>0.23849842596893223</v>
      </c>
      <c r="N426" s="64">
        <v>5958.58</v>
      </c>
      <c r="O426" s="64" t="s">
        <v>18</v>
      </c>
    </row>
    <row r="427" spans="1:15" x14ac:dyDescent="0.3">
      <c r="A427" s="64">
        <v>426</v>
      </c>
      <c r="B427" s="64">
        <v>7695</v>
      </c>
      <c r="C427" s="64" t="s">
        <v>32</v>
      </c>
      <c r="D427" s="64" t="s">
        <v>14</v>
      </c>
      <c r="E427" s="64">
        <v>40332</v>
      </c>
      <c r="F427" s="64">
        <v>4</v>
      </c>
      <c r="G427" s="64">
        <v>161328</v>
      </c>
      <c r="H427" s="65">
        <v>45618</v>
      </c>
      <c r="I427" s="64" t="s">
        <v>15</v>
      </c>
      <c r="J427" s="64" t="s">
        <v>16</v>
      </c>
      <c r="K427" s="64" t="s">
        <v>24</v>
      </c>
      <c r="L427" s="64">
        <v>4.0999999999999996</v>
      </c>
      <c r="M427" s="66">
        <v>0.19353720370921354</v>
      </c>
      <c r="N427" s="64">
        <v>17175.43</v>
      </c>
      <c r="O427" s="64" t="s">
        <v>22</v>
      </c>
    </row>
    <row r="428" spans="1:15" x14ac:dyDescent="0.3">
      <c r="A428" s="64">
        <v>427</v>
      </c>
      <c r="B428" s="64">
        <v>7564</v>
      </c>
      <c r="C428" s="64" t="s">
        <v>34</v>
      </c>
      <c r="D428" s="64" t="s">
        <v>20</v>
      </c>
      <c r="E428" s="64">
        <v>4518</v>
      </c>
      <c r="F428" s="64">
        <v>1</v>
      </c>
      <c r="G428" s="64">
        <v>4518</v>
      </c>
      <c r="H428" s="65">
        <v>45539</v>
      </c>
      <c r="I428" s="64" t="s">
        <v>26</v>
      </c>
      <c r="J428" s="64" t="s">
        <v>27</v>
      </c>
      <c r="K428" s="64" t="s">
        <v>17</v>
      </c>
      <c r="L428" s="64">
        <v>4.8</v>
      </c>
      <c r="M428" s="66">
        <v>0.16822045152722442</v>
      </c>
      <c r="N428" s="64">
        <v>595.38</v>
      </c>
      <c r="O428" s="64" t="s">
        <v>22</v>
      </c>
    </row>
    <row r="429" spans="1:15" x14ac:dyDescent="0.3">
      <c r="A429" s="64">
        <v>428</v>
      </c>
      <c r="B429" s="64">
        <v>8376</v>
      </c>
      <c r="C429" s="64" t="s">
        <v>29</v>
      </c>
      <c r="D429" s="64" t="s">
        <v>14</v>
      </c>
      <c r="E429" s="64">
        <v>8049</v>
      </c>
      <c r="F429" s="64">
        <v>1</v>
      </c>
      <c r="G429" s="64">
        <v>8049</v>
      </c>
      <c r="H429" s="65">
        <v>45576</v>
      </c>
      <c r="I429" s="64" t="s">
        <v>33</v>
      </c>
      <c r="J429" s="64" t="s">
        <v>16</v>
      </c>
      <c r="K429" s="64" t="s">
        <v>28</v>
      </c>
      <c r="L429" s="64">
        <v>1.2</v>
      </c>
      <c r="M429" s="66">
        <v>0.15559572617716488</v>
      </c>
      <c r="N429" s="64">
        <v>1162.31</v>
      </c>
      <c r="O429" s="64" t="s">
        <v>18</v>
      </c>
    </row>
    <row r="430" spans="1:15" x14ac:dyDescent="0.3">
      <c r="A430" s="64">
        <v>429</v>
      </c>
      <c r="B430" s="64">
        <v>1680</v>
      </c>
      <c r="C430" s="64" t="s">
        <v>29</v>
      </c>
      <c r="D430" s="64" t="s">
        <v>25</v>
      </c>
      <c r="E430" s="64">
        <v>22527</v>
      </c>
      <c r="F430" s="64">
        <v>3</v>
      </c>
      <c r="G430" s="64">
        <v>67581</v>
      </c>
      <c r="H430" s="65">
        <v>45455</v>
      </c>
      <c r="I430" s="64" t="s">
        <v>26</v>
      </c>
      <c r="J430" s="64" t="s">
        <v>31</v>
      </c>
      <c r="K430" s="64" t="s">
        <v>17</v>
      </c>
      <c r="L430" s="64">
        <v>3.6</v>
      </c>
      <c r="M430" s="66">
        <v>0.11399446590017905</v>
      </c>
      <c r="N430" s="64">
        <v>12570.44</v>
      </c>
      <c r="O430" s="64" t="s">
        <v>18</v>
      </c>
    </row>
    <row r="431" spans="1:15" x14ac:dyDescent="0.3">
      <c r="A431" s="64">
        <v>430</v>
      </c>
      <c r="B431" s="64">
        <v>8711</v>
      </c>
      <c r="C431" s="64" t="s">
        <v>23</v>
      </c>
      <c r="D431" s="64" t="s">
        <v>14</v>
      </c>
      <c r="E431" s="64">
        <v>44126</v>
      </c>
      <c r="F431" s="64">
        <v>4</v>
      </c>
      <c r="G431" s="64">
        <v>176504</v>
      </c>
      <c r="H431" s="65">
        <v>45644</v>
      </c>
      <c r="I431" s="64" t="s">
        <v>33</v>
      </c>
      <c r="J431" s="64" t="s">
        <v>35</v>
      </c>
      <c r="K431" s="64" t="s">
        <v>24</v>
      </c>
      <c r="L431" s="64">
        <v>3</v>
      </c>
      <c r="M431" s="66">
        <v>5.3371255042378642E-2</v>
      </c>
      <c r="N431" s="64">
        <v>43530.96</v>
      </c>
      <c r="O431" s="64" t="s">
        <v>22</v>
      </c>
    </row>
    <row r="432" spans="1:15" x14ac:dyDescent="0.3">
      <c r="A432" s="64">
        <v>431</v>
      </c>
      <c r="B432" s="64">
        <v>4110</v>
      </c>
      <c r="C432" s="64" t="s">
        <v>32</v>
      </c>
      <c r="D432" s="64" t="s">
        <v>14</v>
      </c>
      <c r="E432" s="64">
        <v>4039</v>
      </c>
      <c r="F432" s="64">
        <v>2</v>
      </c>
      <c r="G432" s="64">
        <v>8078</v>
      </c>
      <c r="H432" s="65">
        <v>45628</v>
      </c>
      <c r="I432" s="64" t="s">
        <v>30</v>
      </c>
      <c r="J432" s="64" t="s">
        <v>31</v>
      </c>
      <c r="K432" s="64" t="s">
        <v>24</v>
      </c>
      <c r="L432" s="64">
        <v>3.9</v>
      </c>
      <c r="M432" s="66">
        <v>0.21373359742510523</v>
      </c>
      <c r="N432" s="64">
        <v>696.86</v>
      </c>
      <c r="O432" s="64" t="s">
        <v>22</v>
      </c>
    </row>
    <row r="433" spans="1:15" x14ac:dyDescent="0.3">
      <c r="A433" s="64">
        <v>432</v>
      </c>
      <c r="B433" s="64">
        <v>8513</v>
      </c>
      <c r="C433" s="64" t="s">
        <v>19</v>
      </c>
      <c r="D433" s="64" t="s">
        <v>14</v>
      </c>
      <c r="E433" s="64">
        <v>42070</v>
      </c>
      <c r="F433" s="64">
        <v>4</v>
      </c>
      <c r="G433" s="64">
        <v>168280</v>
      </c>
      <c r="H433" s="65">
        <v>45431</v>
      </c>
      <c r="I433" s="64" t="s">
        <v>30</v>
      </c>
      <c r="J433" s="64" t="s">
        <v>31</v>
      </c>
      <c r="K433" s="64" t="s">
        <v>24</v>
      </c>
      <c r="L433" s="64">
        <v>2.8</v>
      </c>
      <c r="M433" s="66">
        <v>9.8659139529355844E-2</v>
      </c>
      <c r="N433" s="64">
        <v>33881.64</v>
      </c>
      <c r="O433" s="64" t="s">
        <v>22</v>
      </c>
    </row>
    <row r="434" spans="1:15" x14ac:dyDescent="0.3">
      <c r="A434" s="64">
        <v>433</v>
      </c>
      <c r="B434" s="64">
        <v>7232</v>
      </c>
      <c r="C434" s="64" t="s">
        <v>23</v>
      </c>
      <c r="D434" s="64" t="s">
        <v>20</v>
      </c>
      <c r="E434" s="64">
        <v>27056</v>
      </c>
      <c r="F434" s="64">
        <v>5</v>
      </c>
      <c r="G434" s="64">
        <v>135280</v>
      </c>
      <c r="H434" s="65">
        <v>45329</v>
      </c>
      <c r="I434" s="64" t="s">
        <v>15</v>
      </c>
      <c r="J434" s="64" t="s">
        <v>35</v>
      </c>
      <c r="K434" s="64" t="s">
        <v>28</v>
      </c>
      <c r="L434" s="64">
        <v>1.4</v>
      </c>
      <c r="M434" s="66">
        <v>0.26662026907155528</v>
      </c>
      <c r="N434" s="64">
        <v>4515.6099999999997</v>
      </c>
      <c r="O434" s="64" t="s">
        <v>18</v>
      </c>
    </row>
    <row r="435" spans="1:15" x14ac:dyDescent="0.3">
      <c r="A435" s="64">
        <v>434</v>
      </c>
      <c r="B435" s="64">
        <v>4654</v>
      </c>
      <c r="C435" s="64" t="s">
        <v>13</v>
      </c>
      <c r="D435" s="64" t="s">
        <v>25</v>
      </c>
      <c r="E435" s="64">
        <v>27735</v>
      </c>
      <c r="F435" s="64">
        <v>4</v>
      </c>
      <c r="G435" s="64">
        <v>110940</v>
      </c>
      <c r="H435" s="65">
        <v>45292</v>
      </c>
      <c r="I435" s="64" t="s">
        <v>33</v>
      </c>
      <c r="J435" s="64" t="s">
        <v>35</v>
      </c>
      <c r="K435" s="64" t="s">
        <v>17</v>
      </c>
      <c r="L435" s="64">
        <v>2.1</v>
      </c>
      <c r="M435" s="66">
        <v>0.21665251487290427</v>
      </c>
      <c r="N435" s="64">
        <v>9246.57</v>
      </c>
      <c r="O435" s="64" t="s">
        <v>22</v>
      </c>
    </row>
    <row r="436" spans="1:15" x14ac:dyDescent="0.3">
      <c r="A436" s="64">
        <v>435</v>
      </c>
      <c r="B436" s="64">
        <v>1204</v>
      </c>
      <c r="C436" s="64" t="s">
        <v>13</v>
      </c>
      <c r="D436" s="64" t="s">
        <v>25</v>
      </c>
      <c r="E436" s="64">
        <v>45814</v>
      </c>
      <c r="F436" s="64">
        <v>1</v>
      </c>
      <c r="G436" s="64">
        <v>45814</v>
      </c>
      <c r="H436" s="65">
        <v>45570</v>
      </c>
      <c r="I436" s="64" t="s">
        <v>33</v>
      </c>
      <c r="J436" s="64" t="s">
        <v>21</v>
      </c>
      <c r="K436" s="64" t="s">
        <v>17</v>
      </c>
      <c r="L436" s="64">
        <v>4.3</v>
      </c>
      <c r="M436" s="66">
        <v>0.29178351595582136</v>
      </c>
      <c r="N436" s="64">
        <v>376.43</v>
      </c>
      <c r="O436" s="64" t="s">
        <v>22</v>
      </c>
    </row>
    <row r="437" spans="1:15" x14ac:dyDescent="0.3">
      <c r="A437" s="64">
        <v>436</v>
      </c>
      <c r="B437" s="64">
        <v>6318</v>
      </c>
      <c r="C437" s="64" t="s">
        <v>32</v>
      </c>
      <c r="D437" s="64" t="s">
        <v>20</v>
      </c>
      <c r="E437" s="64">
        <v>1834</v>
      </c>
      <c r="F437" s="64">
        <v>2</v>
      </c>
      <c r="G437" s="64">
        <v>3668</v>
      </c>
      <c r="H437" s="65">
        <v>45378</v>
      </c>
      <c r="I437" s="64" t="s">
        <v>26</v>
      </c>
      <c r="J437" s="64" t="s">
        <v>16</v>
      </c>
      <c r="K437" s="64" t="s">
        <v>24</v>
      </c>
      <c r="L437" s="64">
        <v>3.9</v>
      </c>
      <c r="M437" s="66">
        <v>0.22964558342420938</v>
      </c>
      <c r="N437" s="64">
        <v>258.06</v>
      </c>
      <c r="O437" s="64" t="s">
        <v>18</v>
      </c>
    </row>
    <row r="438" spans="1:15" x14ac:dyDescent="0.3">
      <c r="A438" s="64">
        <v>437</v>
      </c>
      <c r="B438" s="64">
        <v>4455</v>
      </c>
      <c r="C438" s="64" t="s">
        <v>23</v>
      </c>
      <c r="D438" s="64" t="s">
        <v>20</v>
      </c>
      <c r="E438" s="64">
        <v>4865</v>
      </c>
      <c r="F438" s="64">
        <v>3</v>
      </c>
      <c r="G438" s="64">
        <v>14595</v>
      </c>
      <c r="H438" s="65">
        <v>45389</v>
      </c>
      <c r="I438" s="64" t="s">
        <v>33</v>
      </c>
      <c r="J438" s="64" t="s">
        <v>27</v>
      </c>
      <c r="K438" s="64" t="s">
        <v>28</v>
      </c>
      <c r="L438" s="64">
        <v>2.2999999999999998</v>
      </c>
      <c r="M438" s="66">
        <v>0.1357848578280233</v>
      </c>
      <c r="N438" s="64">
        <v>2396.7199999999998</v>
      </c>
      <c r="O438" s="64" t="s">
        <v>22</v>
      </c>
    </row>
    <row r="439" spans="1:15" x14ac:dyDescent="0.3">
      <c r="A439" s="64">
        <v>438</v>
      </c>
      <c r="B439" s="64">
        <v>9037</v>
      </c>
      <c r="C439" s="64" t="s">
        <v>34</v>
      </c>
      <c r="D439" s="64" t="s">
        <v>20</v>
      </c>
      <c r="E439" s="64">
        <v>13243</v>
      </c>
      <c r="F439" s="64">
        <v>1</v>
      </c>
      <c r="G439" s="64">
        <v>13243</v>
      </c>
      <c r="H439" s="65">
        <v>45498</v>
      </c>
      <c r="I439" s="64" t="s">
        <v>30</v>
      </c>
      <c r="J439" s="64" t="s">
        <v>16</v>
      </c>
      <c r="K439" s="64" t="s">
        <v>28</v>
      </c>
      <c r="L439" s="64">
        <v>2.6</v>
      </c>
      <c r="M439" s="66">
        <v>0.21745072868685342</v>
      </c>
      <c r="N439" s="64">
        <v>1093.2</v>
      </c>
      <c r="O439" s="64" t="s">
        <v>18</v>
      </c>
    </row>
    <row r="440" spans="1:15" x14ac:dyDescent="0.3">
      <c r="A440" s="64">
        <v>439</v>
      </c>
      <c r="B440" s="64">
        <v>5371</v>
      </c>
      <c r="C440" s="64" t="s">
        <v>13</v>
      </c>
      <c r="D440" s="64" t="s">
        <v>25</v>
      </c>
      <c r="E440" s="64">
        <v>14407</v>
      </c>
      <c r="F440" s="64">
        <v>3</v>
      </c>
      <c r="G440" s="64">
        <v>43221</v>
      </c>
      <c r="H440" s="65">
        <v>45387</v>
      </c>
      <c r="I440" s="64" t="s">
        <v>26</v>
      </c>
      <c r="J440" s="64" t="s">
        <v>35</v>
      </c>
      <c r="K440" s="64" t="s">
        <v>28</v>
      </c>
      <c r="L440" s="64">
        <v>2.2999999999999998</v>
      </c>
      <c r="M440" s="66">
        <v>0.1532558247148377</v>
      </c>
      <c r="N440" s="64">
        <v>6342.43</v>
      </c>
      <c r="O440" s="64" t="s">
        <v>18</v>
      </c>
    </row>
    <row r="441" spans="1:15" x14ac:dyDescent="0.3">
      <c r="A441" s="64">
        <v>440</v>
      </c>
      <c r="B441" s="64">
        <v>7014</v>
      </c>
      <c r="C441" s="64" t="s">
        <v>32</v>
      </c>
      <c r="D441" s="64" t="s">
        <v>25</v>
      </c>
      <c r="E441" s="64">
        <v>22826</v>
      </c>
      <c r="F441" s="64">
        <v>4</v>
      </c>
      <c r="G441" s="64">
        <v>91304</v>
      </c>
      <c r="H441" s="65">
        <v>45343</v>
      </c>
      <c r="I441" s="64" t="s">
        <v>30</v>
      </c>
      <c r="J441" s="64" t="s">
        <v>35</v>
      </c>
      <c r="K441" s="64" t="s">
        <v>24</v>
      </c>
      <c r="L441" s="64">
        <v>4</v>
      </c>
      <c r="M441" s="66">
        <v>0.186121418557785</v>
      </c>
      <c r="N441" s="64">
        <v>10397.57</v>
      </c>
      <c r="O441" s="64" t="s">
        <v>18</v>
      </c>
    </row>
    <row r="442" spans="1:15" x14ac:dyDescent="0.3">
      <c r="A442" s="64">
        <v>441</v>
      </c>
      <c r="B442" s="64">
        <v>4343</v>
      </c>
      <c r="C442" s="64" t="s">
        <v>19</v>
      </c>
      <c r="D442" s="64" t="s">
        <v>14</v>
      </c>
      <c r="E442" s="64">
        <v>9846</v>
      </c>
      <c r="F442" s="64">
        <v>1</v>
      </c>
      <c r="G442" s="64">
        <v>9846</v>
      </c>
      <c r="H442" s="65">
        <v>45476</v>
      </c>
      <c r="I442" s="64" t="s">
        <v>26</v>
      </c>
      <c r="J442" s="64" t="s">
        <v>16</v>
      </c>
      <c r="K442" s="64" t="s">
        <v>24</v>
      </c>
      <c r="L442" s="64">
        <v>1.7</v>
      </c>
      <c r="M442" s="66">
        <v>0.26560125939467805</v>
      </c>
      <c r="N442" s="64">
        <v>338.69</v>
      </c>
      <c r="O442" s="64" t="s">
        <v>18</v>
      </c>
    </row>
    <row r="443" spans="1:15" x14ac:dyDescent="0.3">
      <c r="A443" s="64">
        <v>442</v>
      </c>
      <c r="B443" s="64">
        <v>6029</v>
      </c>
      <c r="C443" s="64" t="s">
        <v>23</v>
      </c>
      <c r="D443" s="64" t="s">
        <v>25</v>
      </c>
      <c r="E443" s="64">
        <v>47169</v>
      </c>
      <c r="F443" s="64">
        <v>3</v>
      </c>
      <c r="G443" s="64">
        <v>141507</v>
      </c>
      <c r="H443" s="65">
        <v>45499</v>
      </c>
      <c r="I443" s="64" t="s">
        <v>30</v>
      </c>
      <c r="J443" s="64" t="s">
        <v>27</v>
      </c>
      <c r="K443" s="64" t="s">
        <v>24</v>
      </c>
      <c r="L443" s="64">
        <v>4.3</v>
      </c>
      <c r="M443" s="66">
        <v>0.26061035849816616</v>
      </c>
      <c r="N443" s="64">
        <v>5573.91</v>
      </c>
      <c r="O443" s="64" t="s">
        <v>22</v>
      </c>
    </row>
    <row r="444" spans="1:15" x14ac:dyDescent="0.3">
      <c r="A444" s="64">
        <v>443</v>
      </c>
      <c r="B444" s="64">
        <v>3634</v>
      </c>
      <c r="C444" s="64" t="s">
        <v>19</v>
      </c>
      <c r="D444" s="64" t="s">
        <v>20</v>
      </c>
      <c r="E444" s="64">
        <v>46700</v>
      </c>
      <c r="F444" s="64">
        <v>5</v>
      </c>
      <c r="G444" s="64">
        <v>233500</v>
      </c>
      <c r="H444" s="65">
        <v>45369</v>
      </c>
      <c r="I444" s="64" t="s">
        <v>33</v>
      </c>
      <c r="J444" s="64" t="s">
        <v>35</v>
      </c>
      <c r="K444" s="64" t="s">
        <v>24</v>
      </c>
      <c r="L444" s="64">
        <v>4.7</v>
      </c>
      <c r="M444" s="66">
        <v>0.22917734475374735</v>
      </c>
      <c r="N444" s="64">
        <v>16537.09</v>
      </c>
      <c r="O444" s="64" t="s">
        <v>22</v>
      </c>
    </row>
    <row r="445" spans="1:15" x14ac:dyDescent="0.3">
      <c r="A445" s="64">
        <v>444</v>
      </c>
      <c r="B445" s="64">
        <v>4109</v>
      </c>
      <c r="C445" s="64" t="s">
        <v>19</v>
      </c>
      <c r="D445" s="64" t="s">
        <v>20</v>
      </c>
      <c r="E445" s="64">
        <v>1723</v>
      </c>
      <c r="F445" s="64">
        <v>2</v>
      </c>
      <c r="G445" s="64">
        <v>3446</v>
      </c>
      <c r="H445" s="65">
        <v>45601</v>
      </c>
      <c r="I445" s="64" t="s">
        <v>33</v>
      </c>
      <c r="J445" s="64" t="s">
        <v>16</v>
      </c>
      <c r="K445" s="64" t="s">
        <v>28</v>
      </c>
      <c r="L445" s="64">
        <v>1.5</v>
      </c>
      <c r="M445" s="66">
        <v>0.28553685432385373</v>
      </c>
      <c r="N445" s="64">
        <v>49.84</v>
      </c>
      <c r="O445" s="64" t="s">
        <v>18</v>
      </c>
    </row>
    <row r="446" spans="1:15" x14ac:dyDescent="0.3">
      <c r="A446" s="64">
        <v>445</v>
      </c>
      <c r="B446" s="64">
        <v>9550</v>
      </c>
      <c r="C446" s="64" t="s">
        <v>13</v>
      </c>
      <c r="D446" s="64" t="s">
        <v>14</v>
      </c>
      <c r="E446" s="64">
        <v>38989</v>
      </c>
      <c r="F446" s="64">
        <v>4</v>
      </c>
      <c r="G446" s="64">
        <v>155956</v>
      </c>
      <c r="H446" s="65">
        <v>45529</v>
      </c>
      <c r="I446" s="64" t="s">
        <v>15</v>
      </c>
      <c r="J446" s="64" t="s">
        <v>16</v>
      </c>
      <c r="K446" s="64" t="s">
        <v>17</v>
      </c>
      <c r="L446" s="64">
        <v>2.8</v>
      </c>
      <c r="M446" s="66">
        <v>0.29787145092205491</v>
      </c>
      <c r="N446" s="64">
        <v>331.96</v>
      </c>
      <c r="O446" s="64" t="s">
        <v>18</v>
      </c>
    </row>
    <row r="447" spans="1:15" x14ac:dyDescent="0.3">
      <c r="A447" s="64">
        <v>446</v>
      </c>
      <c r="B447" s="64">
        <v>9312</v>
      </c>
      <c r="C447" s="64" t="s">
        <v>19</v>
      </c>
      <c r="D447" s="64" t="s">
        <v>25</v>
      </c>
      <c r="E447" s="64">
        <v>21204</v>
      </c>
      <c r="F447" s="64">
        <v>4</v>
      </c>
      <c r="G447" s="64">
        <v>84816</v>
      </c>
      <c r="H447" s="65">
        <v>45391</v>
      </c>
      <c r="I447" s="64" t="s">
        <v>15</v>
      </c>
      <c r="J447" s="64" t="s">
        <v>16</v>
      </c>
      <c r="K447" s="64" t="s">
        <v>28</v>
      </c>
      <c r="L447" s="64">
        <v>2</v>
      </c>
      <c r="M447" s="66">
        <v>0.24513664874551969</v>
      </c>
      <c r="N447" s="64">
        <v>4653.29</v>
      </c>
      <c r="O447" s="64" t="s">
        <v>18</v>
      </c>
    </row>
    <row r="448" spans="1:15" x14ac:dyDescent="0.3">
      <c r="A448" s="64">
        <v>447</v>
      </c>
      <c r="B448" s="64">
        <v>1114</v>
      </c>
      <c r="C448" s="64" t="s">
        <v>32</v>
      </c>
      <c r="D448" s="64" t="s">
        <v>14</v>
      </c>
      <c r="E448" s="64">
        <v>33178</v>
      </c>
      <c r="F448" s="64">
        <v>1</v>
      </c>
      <c r="G448" s="64">
        <v>33178</v>
      </c>
      <c r="H448" s="65">
        <v>45378</v>
      </c>
      <c r="I448" s="64" t="s">
        <v>33</v>
      </c>
      <c r="J448" s="64" t="s">
        <v>27</v>
      </c>
      <c r="K448" s="64" t="s">
        <v>17</v>
      </c>
      <c r="L448" s="64">
        <v>2.1</v>
      </c>
      <c r="M448" s="66">
        <v>0.27546175176321658</v>
      </c>
      <c r="N448" s="64">
        <v>814.13</v>
      </c>
      <c r="O448" s="64" t="s">
        <v>22</v>
      </c>
    </row>
    <row r="449" spans="1:15" x14ac:dyDescent="0.3">
      <c r="A449" s="64">
        <v>448</v>
      </c>
      <c r="B449" s="64">
        <v>9201</v>
      </c>
      <c r="C449" s="64" t="s">
        <v>19</v>
      </c>
      <c r="D449" s="64" t="s">
        <v>14</v>
      </c>
      <c r="E449" s="64">
        <v>29590</v>
      </c>
      <c r="F449" s="64">
        <v>2</v>
      </c>
      <c r="G449" s="64">
        <v>59180</v>
      </c>
      <c r="H449" s="65">
        <v>45446</v>
      </c>
      <c r="I449" s="64" t="s">
        <v>15</v>
      </c>
      <c r="J449" s="64" t="s">
        <v>27</v>
      </c>
      <c r="K449" s="64" t="s">
        <v>17</v>
      </c>
      <c r="L449" s="64">
        <v>2.7</v>
      </c>
      <c r="M449" s="66">
        <v>5.5904528556944909E-2</v>
      </c>
      <c r="N449" s="64">
        <v>14445.57</v>
      </c>
      <c r="O449" s="64" t="s">
        <v>22</v>
      </c>
    </row>
    <row r="450" spans="1:15" x14ac:dyDescent="0.3">
      <c r="A450" s="64">
        <v>449</v>
      </c>
      <c r="B450" s="64">
        <v>1139</v>
      </c>
      <c r="C450" s="64" t="s">
        <v>34</v>
      </c>
      <c r="D450" s="64" t="s">
        <v>14</v>
      </c>
      <c r="E450" s="64">
        <v>42909</v>
      </c>
      <c r="F450" s="64">
        <v>1</v>
      </c>
      <c r="G450" s="64">
        <v>42909</v>
      </c>
      <c r="H450" s="65">
        <v>45458</v>
      </c>
      <c r="I450" s="64" t="s">
        <v>30</v>
      </c>
      <c r="J450" s="64" t="s">
        <v>27</v>
      </c>
      <c r="K450" s="64" t="s">
        <v>28</v>
      </c>
      <c r="L450" s="64">
        <v>3.1</v>
      </c>
      <c r="M450" s="66">
        <v>0.21851220023771237</v>
      </c>
      <c r="N450" s="64">
        <v>3496.56</v>
      </c>
      <c r="O450" s="64" t="s">
        <v>22</v>
      </c>
    </row>
    <row r="451" spans="1:15" x14ac:dyDescent="0.3">
      <c r="A451" s="64">
        <v>450</v>
      </c>
      <c r="B451" s="64">
        <v>3614</v>
      </c>
      <c r="C451" s="64" t="s">
        <v>13</v>
      </c>
      <c r="D451" s="64" t="s">
        <v>25</v>
      </c>
      <c r="E451" s="64">
        <v>47327</v>
      </c>
      <c r="F451" s="64">
        <v>3</v>
      </c>
      <c r="G451" s="64">
        <v>141981</v>
      </c>
      <c r="H451" s="65">
        <v>45495</v>
      </c>
      <c r="I451" s="64" t="s">
        <v>15</v>
      </c>
      <c r="J451" s="64" t="s">
        <v>31</v>
      </c>
      <c r="K451" s="64" t="s">
        <v>17</v>
      </c>
      <c r="L451" s="64">
        <v>3.6</v>
      </c>
      <c r="M451" s="66">
        <v>0.15830674526873315</v>
      </c>
      <c r="N451" s="64">
        <v>20117.75</v>
      </c>
      <c r="O451" s="64" t="s">
        <v>22</v>
      </c>
    </row>
    <row r="452" spans="1:15" x14ac:dyDescent="0.3">
      <c r="A452" s="64">
        <v>451</v>
      </c>
      <c r="B452" s="64">
        <v>6940</v>
      </c>
      <c r="C452" s="64" t="s">
        <v>34</v>
      </c>
      <c r="D452" s="64" t="s">
        <v>20</v>
      </c>
      <c r="E452" s="64">
        <v>26686</v>
      </c>
      <c r="F452" s="64">
        <v>4</v>
      </c>
      <c r="G452" s="64">
        <v>106744</v>
      </c>
      <c r="H452" s="65">
        <v>45570</v>
      </c>
      <c r="I452" s="64" t="s">
        <v>33</v>
      </c>
      <c r="J452" s="64" t="s">
        <v>31</v>
      </c>
      <c r="K452" s="64" t="s">
        <v>28</v>
      </c>
      <c r="L452" s="64">
        <v>4.5999999999999996</v>
      </c>
      <c r="M452" s="66">
        <v>0.29230270553848459</v>
      </c>
      <c r="N452" s="64">
        <v>821.64</v>
      </c>
      <c r="O452" s="64" t="s">
        <v>18</v>
      </c>
    </row>
    <row r="453" spans="1:15" x14ac:dyDescent="0.3">
      <c r="A453" s="64">
        <v>452</v>
      </c>
      <c r="B453" s="64">
        <v>1521</v>
      </c>
      <c r="C453" s="64" t="s">
        <v>32</v>
      </c>
      <c r="D453" s="64" t="s">
        <v>20</v>
      </c>
      <c r="E453" s="64">
        <v>5144</v>
      </c>
      <c r="F453" s="64">
        <v>5</v>
      </c>
      <c r="G453" s="64">
        <v>25720</v>
      </c>
      <c r="H453" s="65">
        <v>45454</v>
      </c>
      <c r="I453" s="64" t="s">
        <v>33</v>
      </c>
      <c r="J453" s="64" t="s">
        <v>35</v>
      </c>
      <c r="K453" s="64" t="s">
        <v>17</v>
      </c>
      <c r="L453" s="64">
        <v>1.8</v>
      </c>
      <c r="M453" s="66">
        <v>0.15811508553654743</v>
      </c>
      <c r="N453" s="64">
        <v>3649.28</v>
      </c>
      <c r="O453" s="64" t="s">
        <v>18</v>
      </c>
    </row>
    <row r="454" spans="1:15" x14ac:dyDescent="0.3">
      <c r="A454" s="64">
        <v>453</v>
      </c>
      <c r="B454" s="64">
        <v>1234</v>
      </c>
      <c r="C454" s="64" t="s">
        <v>29</v>
      </c>
      <c r="D454" s="64" t="s">
        <v>25</v>
      </c>
      <c r="E454" s="64">
        <v>9852</v>
      </c>
      <c r="F454" s="64">
        <v>5</v>
      </c>
      <c r="G454" s="64">
        <v>49260</v>
      </c>
      <c r="H454" s="65">
        <v>45547</v>
      </c>
      <c r="I454" s="64" t="s">
        <v>26</v>
      </c>
      <c r="J454" s="64" t="s">
        <v>31</v>
      </c>
      <c r="K454" s="64" t="s">
        <v>28</v>
      </c>
      <c r="L454" s="64">
        <v>1</v>
      </c>
      <c r="M454" s="66">
        <v>0.24363662200568414</v>
      </c>
      <c r="N454" s="64">
        <v>2776.46</v>
      </c>
      <c r="O454" s="64" t="s">
        <v>18</v>
      </c>
    </row>
    <row r="455" spans="1:15" x14ac:dyDescent="0.3">
      <c r="A455" s="64">
        <v>454</v>
      </c>
      <c r="B455" s="64">
        <v>7581</v>
      </c>
      <c r="C455" s="64" t="s">
        <v>34</v>
      </c>
      <c r="D455" s="64" t="s">
        <v>20</v>
      </c>
      <c r="E455" s="64">
        <v>40966</v>
      </c>
      <c r="F455" s="64">
        <v>4</v>
      </c>
      <c r="G455" s="64">
        <v>163864</v>
      </c>
      <c r="H455" s="65">
        <v>45630</v>
      </c>
      <c r="I455" s="64" t="s">
        <v>33</v>
      </c>
      <c r="J455" s="64" t="s">
        <v>27</v>
      </c>
      <c r="K455" s="64" t="s">
        <v>17</v>
      </c>
      <c r="L455" s="64">
        <v>1.2</v>
      </c>
      <c r="M455" s="66">
        <v>0.11581872772543085</v>
      </c>
      <c r="N455" s="64">
        <v>30180.68</v>
      </c>
      <c r="O455" s="64" t="s">
        <v>22</v>
      </c>
    </row>
    <row r="456" spans="1:15" x14ac:dyDescent="0.3">
      <c r="A456" s="64">
        <v>455</v>
      </c>
      <c r="B456" s="64">
        <v>2012</v>
      </c>
      <c r="C456" s="64" t="s">
        <v>13</v>
      </c>
      <c r="D456" s="64" t="s">
        <v>20</v>
      </c>
      <c r="E456" s="64">
        <v>20268</v>
      </c>
      <c r="F456" s="64">
        <v>3</v>
      </c>
      <c r="G456" s="64">
        <v>60804</v>
      </c>
      <c r="H456" s="65">
        <v>45538</v>
      </c>
      <c r="I456" s="64" t="s">
        <v>26</v>
      </c>
      <c r="J456" s="64" t="s">
        <v>31</v>
      </c>
      <c r="K456" s="64" t="s">
        <v>24</v>
      </c>
      <c r="L456" s="64">
        <v>3.9</v>
      </c>
      <c r="M456" s="66">
        <v>0.25967370567725806</v>
      </c>
      <c r="N456" s="64">
        <v>2452</v>
      </c>
      <c r="O456" s="64" t="s">
        <v>18</v>
      </c>
    </row>
    <row r="457" spans="1:15" x14ac:dyDescent="0.3">
      <c r="A457" s="64">
        <v>456</v>
      </c>
      <c r="B457" s="64">
        <v>7445</v>
      </c>
      <c r="C457" s="64" t="s">
        <v>34</v>
      </c>
      <c r="D457" s="64" t="s">
        <v>25</v>
      </c>
      <c r="E457" s="64">
        <v>20381</v>
      </c>
      <c r="F457" s="64">
        <v>1</v>
      </c>
      <c r="G457" s="64">
        <v>20381</v>
      </c>
      <c r="H457" s="65">
        <v>45382</v>
      </c>
      <c r="I457" s="64" t="s">
        <v>30</v>
      </c>
      <c r="J457" s="64" t="s">
        <v>35</v>
      </c>
      <c r="K457" s="64" t="s">
        <v>28</v>
      </c>
      <c r="L457" s="64">
        <v>3.9</v>
      </c>
      <c r="M457" s="66">
        <v>0.13108188999558412</v>
      </c>
      <c r="N457" s="64">
        <v>3442.72</v>
      </c>
      <c r="O457" s="64" t="s">
        <v>22</v>
      </c>
    </row>
    <row r="458" spans="1:15" x14ac:dyDescent="0.3">
      <c r="A458" s="64">
        <v>457</v>
      </c>
      <c r="B458" s="64">
        <v>5691</v>
      </c>
      <c r="C458" s="64" t="s">
        <v>29</v>
      </c>
      <c r="D458" s="64" t="s">
        <v>20</v>
      </c>
      <c r="E458" s="64">
        <v>38077</v>
      </c>
      <c r="F458" s="64">
        <v>3</v>
      </c>
      <c r="G458" s="64">
        <v>114231</v>
      </c>
      <c r="H458" s="65">
        <v>45560</v>
      </c>
      <c r="I458" s="64" t="s">
        <v>30</v>
      </c>
      <c r="J458" s="64" t="s">
        <v>35</v>
      </c>
      <c r="K458" s="64" t="s">
        <v>28</v>
      </c>
      <c r="L458" s="64">
        <v>2</v>
      </c>
      <c r="M458" s="66">
        <v>9.3527151123600424E-2</v>
      </c>
      <c r="N458" s="64">
        <v>23585.599999999999</v>
      </c>
      <c r="O458" s="64" t="s">
        <v>18</v>
      </c>
    </row>
    <row r="459" spans="1:15" x14ac:dyDescent="0.3">
      <c r="A459" s="64">
        <v>458</v>
      </c>
      <c r="B459" s="64">
        <v>6372</v>
      </c>
      <c r="C459" s="64" t="s">
        <v>29</v>
      </c>
      <c r="D459" s="64" t="s">
        <v>14</v>
      </c>
      <c r="E459" s="64">
        <v>40756</v>
      </c>
      <c r="F459" s="64">
        <v>4</v>
      </c>
      <c r="G459" s="64">
        <v>163024</v>
      </c>
      <c r="H459" s="65">
        <v>45648</v>
      </c>
      <c r="I459" s="64" t="s">
        <v>15</v>
      </c>
      <c r="J459" s="64" t="s">
        <v>16</v>
      </c>
      <c r="K459" s="64" t="s">
        <v>28</v>
      </c>
      <c r="L459" s="64">
        <v>1.1000000000000001</v>
      </c>
      <c r="M459" s="66">
        <v>0.16751447639611347</v>
      </c>
      <c r="N459" s="64">
        <v>21598.32</v>
      </c>
      <c r="O459" s="64" t="s">
        <v>18</v>
      </c>
    </row>
    <row r="460" spans="1:15" x14ac:dyDescent="0.3">
      <c r="A460" s="64">
        <v>459</v>
      </c>
      <c r="B460" s="64">
        <v>4971</v>
      </c>
      <c r="C460" s="64" t="s">
        <v>19</v>
      </c>
      <c r="D460" s="64" t="s">
        <v>25</v>
      </c>
      <c r="E460" s="64">
        <v>35357</v>
      </c>
      <c r="F460" s="64">
        <v>3</v>
      </c>
      <c r="G460" s="64">
        <v>106071</v>
      </c>
      <c r="H460" s="65">
        <v>45468</v>
      </c>
      <c r="I460" s="64" t="s">
        <v>33</v>
      </c>
      <c r="J460" s="64" t="s">
        <v>31</v>
      </c>
      <c r="K460" s="64" t="s">
        <v>17</v>
      </c>
      <c r="L460" s="64">
        <v>1.6</v>
      </c>
      <c r="M460" s="66">
        <v>0.10564914066992863</v>
      </c>
      <c r="N460" s="64">
        <v>20614.990000000002</v>
      </c>
      <c r="O460" s="64" t="s">
        <v>22</v>
      </c>
    </row>
    <row r="461" spans="1:15" x14ac:dyDescent="0.3">
      <c r="A461" s="64">
        <v>460</v>
      </c>
      <c r="B461" s="64">
        <v>5362</v>
      </c>
      <c r="C461" s="64" t="s">
        <v>23</v>
      </c>
      <c r="D461" s="64" t="s">
        <v>25</v>
      </c>
      <c r="E461" s="64">
        <v>28254</v>
      </c>
      <c r="F461" s="64">
        <v>4</v>
      </c>
      <c r="G461" s="64">
        <v>113016</v>
      </c>
      <c r="H461" s="65">
        <v>45610</v>
      </c>
      <c r="I461" s="64" t="s">
        <v>26</v>
      </c>
      <c r="J461" s="64" t="s">
        <v>16</v>
      </c>
      <c r="K461" s="64" t="s">
        <v>17</v>
      </c>
      <c r="L461" s="64">
        <v>3.4</v>
      </c>
      <c r="M461" s="66">
        <v>0.23461686840801302</v>
      </c>
      <c r="N461" s="64">
        <v>7389.34</v>
      </c>
      <c r="O461" s="64" t="s">
        <v>18</v>
      </c>
    </row>
    <row r="462" spans="1:15" x14ac:dyDescent="0.3">
      <c r="A462" s="64">
        <v>461</v>
      </c>
      <c r="B462" s="64">
        <v>6635</v>
      </c>
      <c r="C462" s="64" t="s">
        <v>23</v>
      </c>
      <c r="D462" s="64" t="s">
        <v>14</v>
      </c>
      <c r="E462" s="64">
        <v>45390</v>
      </c>
      <c r="F462" s="64">
        <v>1</v>
      </c>
      <c r="G462" s="64">
        <v>45390</v>
      </c>
      <c r="H462" s="65">
        <v>45355</v>
      </c>
      <c r="I462" s="64" t="s">
        <v>33</v>
      </c>
      <c r="J462" s="64" t="s">
        <v>27</v>
      </c>
      <c r="K462" s="64" t="s">
        <v>17</v>
      </c>
      <c r="L462" s="64">
        <v>3</v>
      </c>
      <c r="M462" s="66">
        <v>6.6719982374972467E-2</v>
      </c>
      <c r="N462" s="64">
        <v>10588.58</v>
      </c>
      <c r="O462" s="64" t="s">
        <v>22</v>
      </c>
    </row>
    <row r="463" spans="1:15" x14ac:dyDescent="0.3">
      <c r="A463" s="64">
        <v>462</v>
      </c>
      <c r="B463" s="64">
        <v>3812</v>
      </c>
      <c r="C463" s="64" t="s">
        <v>32</v>
      </c>
      <c r="D463" s="64" t="s">
        <v>20</v>
      </c>
      <c r="E463" s="64">
        <v>20332</v>
      </c>
      <c r="F463" s="64">
        <v>4</v>
      </c>
      <c r="G463" s="64">
        <v>81328</v>
      </c>
      <c r="H463" s="65">
        <v>45326</v>
      </c>
      <c r="I463" s="64" t="s">
        <v>26</v>
      </c>
      <c r="J463" s="64" t="s">
        <v>27</v>
      </c>
      <c r="K463" s="64" t="s">
        <v>24</v>
      </c>
      <c r="L463" s="64">
        <v>4.5999999999999996</v>
      </c>
      <c r="M463" s="66">
        <v>0.24613257426716506</v>
      </c>
      <c r="N463" s="64">
        <v>4380.93</v>
      </c>
      <c r="O463" s="64" t="s">
        <v>22</v>
      </c>
    </row>
    <row r="464" spans="1:15" x14ac:dyDescent="0.3">
      <c r="A464" s="64">
        <v>463</v>
      </c>
      <c r="B464" s="64">
        <v>2695</v>
      </c>
      <c r="C464" s="64" t="s">
        <v>29</v>
      </c>
      <c r="D464" s="64" t="s">
        <v>20</v>
      </c>
      <c r="E464" s="64">
        <v>3945</v>
      </c>
      <c r="F464" s="64">
        <v>3</v>
      </c>
      <c r="G464" s="64">
        <v>11835</v>
      </c>
      <c r="H464" s="65">
        <v>45318</v>
      </c>
      <c r="I464" s="64" t="s">
        <v>26</v>
      </c>
      <c r="J464" s="64" t="s">
        <v>35</v>
      </c>
      <c r="K464" s="64" t="s">
        <v>24</v>
      </c>
      <c r="L464" s="64">
        <v>3.1</v>
      </c>
      <c r="M464" s="66">
        <v>8.2867765103506547E-2</v>
      </c>
      <c r="N464" s="64">
        <v>2569.7600000000002</v>
      </c>
      <c r="O464" s="64" t="s">
        <v>22</v>
      </c>
    </row>
    <row r="465" spans="1:15" x14ac:dyDescent="0.3">
      <c r="A465" s="64">
        <v>464</v>
      </c>
      <c r="B465" s="64">
        <v>8786</v>
      </c>
      <c r="C465" s="64" t="s">
        <v>29</v>
      </c>
      <c r="D465" s="64" t="s">
        <v>25</v>
      </c>
      <c r="E465" s="64">
        <v>37249</v>
      </c>
      <c r="F465" s="64">
        <v>4</v>
      </c>
      <c r="G465" s="64">
        <v>148996</v>
      </c>
      <c r="H465" s="65">
        <v>45358</v>
      </c>
      <c r="I465" s="64" t="s">
        <v>33</v>
      </c>
      <c r="J465" s="64" t="s">
        <v>35</v>
      </c>
      <c r="K465" s="64" t="s">
        <v>17</v>
      </c>
      <c r="L465" s="64">
        <v>1.2</v>
      </c>
      <c r="M465" s="66">
        <v>0.27524329512201673</v>
      </c>
      <c r="N465" s="64">
        <v>3688.65</v>
      </c>
      <c r="O465" s="64" t="s">
        <v>18</v>
      </c>
    </row>
    <row r="466" spans="1:15" x14ac:dyDescent="0.3">
      <c r="A466" s="64">
        <v>465</v>
      </c>
      <c r="B466" s="64">
        <v>6221</v>
      </c>
      <c r="C466" s="64" t="s">
        <v>29</v>
      </c>
      <c r="D466" s="64" t="s">
        <v>14</v>
      </c>
      <c r="E466" s="64">
        <v>10089</v>
      </c>
      <c r="F466" s="64">
        <v>1</v>
      </c>
      <c r="G466" s="64">
        <v>10089</v>
      </c>
      <c r="H466" s="65">
        <v>45317</v>
      </c>
      <c r="I466" s="64" t="s">
        <v>26</v>
      </c>
      <c r="J466" s="64" t="s">
        <v>21</v>
      </c>
      <c r="K466" s="64" t="s">
        <v>24</v>
      </c>
      <c r="L466" s="64">
        <v>2.8</v>
      </c>
      <c r="M466" s="66">
        <v>0.27807414015264148</v>
      </c>
      <c r="N466" s="64">
        <v>221.21</v>
      </c>
      <c r="O466" s="64" t="s">
        <v>22</v>
      </c>
    </row>
    <row r="467" spans="1:15" x14ac:dyDescent="0.3">
      <c r="A467" s="64">
        <v>466</v>
      </c>
      <c r="B467" s="64">
        <v>4200</v>
      </c>
      <c r="C467" s="64" t="s">
        <v>23</v>
      </c>
      <c r="D467" s="64" t="s">
        <v>25</v>
      </c>
      <c r="E467" s="64">
        <v>48239</v>
      </c>
      <c r="F467" s="64">
        <v>5</v>
      </c>
      <c r="G467" s="64">
        <v>241195</v>
      </c>
      <c r="H467" s="65">
        <v>45465</v>
      </c>
      <c r="I467" s="64" t="s">
        <v>33</v>
      </c>
      <c r="J467" s="64" t="s">
        <v>31</v>
      </c>
      <c r="K467" s="64" t="s">
        <v>28</v>
      </c>
      <c r="L467" s="64">
        <v>3.4</v>
      </c>
      <c r="M467" s="66">
        <v>0.26276601919608616</v>
      </c>
      <c r="N467" s="64">
        <v>8980.65</v>
      </c>
      <c r="O467" s="64" t="s">
        <v>18</v>
      </c>
    </row>
    <row r="468" spans="1:15" x14ac:dyDescent="0.3">
      <c r="A468" s="64">
        <v>467</v>
      </c>
      <c r="B468" s="64">
        <v>1128</v>
      </c>
      <c r="C468" s="64" t="s">
        <v>34</v>
      </c>
      <c r="D468" s="64" t="s">
        <v>20</v>
      </c>
      <c r="E468" s="64">
        <v>31430</v>
      </c>
      <c r="F468" s="64">
        <v>4</v>
      </c>
      <c r="G468" s="64">
        <v>125720</v>
      </c>
      <c r="H468" s="65">
        <v>45590</v>
      </c>
      <c r="I468" s="64" t="s">
        <v>15</v>
      </c>
      <c r="J468" s="64" t="s">
        <v>31</v>
      </c>
      <c r="K468" s="64" t="s">
        <v>17</v>
      </c>
      <c r="L468" s="64">
        <v>4</v>
      </c>
      <c r="M468" s="66">
        <v>0.11902251034043908</v>
      </c>
      <c r="N468" s="64">
        <v>22752.49</v>
      </c>
      <c r="O468" s="64" t="s">
        <v>18</v>
      </c>
    </row>
    <row r="469" spans="1:15" x14ac:dyDescent="0.3">
      <c r="A469" s="64">
        <v>468</v>
      </c>
      <c r="B469" s="64">
        <v>2844</v>
      </c>
      <c r="C469" s="64" t="s">
        <v>34</v>
      </c>
      <c r="D469" s="64" t="s">
        <v>14</v>
      </c>
      <c r="E469" s="64">
        <v>13784</v>
      </c>
      <c r="F469" s="64">
        <v>2</v>
      </c>
      <c r="G469" s="64">
        <v>27568</v>
      </c>
      <c r="H469" s="65">
        <v>45392</v>
      </c>
      <c r="I469" s="64" t="s">
        <v>26</v>
      </c>
      <c r="J469" s="64" t="s">
        <v>31</v>
      </c>
      <c r="K469" s="64" t="s">
        <v>17</v>
      </c>
      <c r="L469" s="64">
        <v>3.7</v>
      </c>
      <c r="M469" s="66">
        <v>0.1462547156123041</v>
      </c>
      <c r="N469" s="64">
        <v>4238.45</v>
      </c>
      <c r="O469" s="64" t="s">
        <v>22</v>
      </c>
    </row>
    <row r="470" spans="1:15" x14ac:dyDescent="0.3">
      <c r="A470" s="64">
        <v>469</v>
      </c>
      <c r="B470" s="64">
        <v>6817</v>
      </c>
      <c r="C470" s="64" t="s">
        <v>23</v>
      </c>
      <c r="D470" s="64" t="s">
        <v>25</v>
      </c>
      <c r="E470" s="64">
        <v>5168</v>
      </c>
      <c r="F470" s="64">
        <v>5</v>
      </c>
      <c r="G470" s="64">
        <v>25840</v>
      </c>
      <c r="H470" s="65">
        <v>45310</v>
      </c>
      <c r="I470" s="64" t="s">
        <v>26</v>
      </c>
      <c r="J470" s="64" t="s">
        <v>16</v>
      </c>
      <c r="K470" s="64" t="s">
        <v>17</v>
      </c>
      <c r="L470" s="64">
        <v>3.6</v>
      </c>
      <c r="M470" s="66">
        <v>0.21544195046439629</v>
      </c>
      <c r="N470" s="64">
        <v>2184.98</v>
      </c>
      <c r="O470" s="64" t="s">
        <v>18</v>
      </c>
    </row>
    <row r="471" spans="1:15" x14ac:dyDescent="0.3">
      <c r="A471" s="64">
        <v>470</v>
      </c>
      <c r="B471" s="64">
        <v>8817</v>
      </c>
      <c r="C471" s="64" t="s">
        <v>19</v>
      </c>
      <c r="D471" s="64" t="s">
        <v>14</v>
      </c>
      <c r="E471" s="64">
        <v>3620</v>
      </c>
      <c r="F471" s="64">
        <v>5</v>
      </c>
      <c r="G471" s="64">
        <v>18100</v>
      </c>
      <c r="H471" s="65">
        <v>45428</v>
      </c>
      <c r="I471" s="64" t="s">
        <v>30</v>
      </c>
      <c r="J471" s="64" t="s">
        <v>27</v>
      </c>
      <c r="K471" s="64" t="s">
        <v>24</v>
      </c>
      <c r="L471" s="64">
        <v>4.5999999999999996</v>
      </c>
      <c r="M471" s="66">
        <v>0.10642320441988951</v>
      </c>
      <c r="N471" s="64">
        <v>3503.74</v>
      </c>
      <c r="O471" s="64" t="s">
        <v>22</v>
      </c>
    </row>
    <row r="472" spans="1:15" x14ac:dyDescent="0.3">
      <c r="A472" s="64">
        <v>471</v>
      </c>
      <c r="B472" s="64">
        <v>7094</v>
      </c>
      <c r="C472" s="64" t="s">
        <v>29</v>
      </c>
      <c r="D472" s="64" t="s">
        <v>14</v>
      </c>
      <c r="E472" s="64">
        <v>4877</v>
      </c>
      <c r="F472" s="64">
        <v>2</v>
      </c>
      <c r="G472" s="64">
        <v>9754</v>
      </c>
      <c r="H472" s="65">
        <v>45313</v>
      </c>
      <c r="I472" s="64" t="s">
        <v>15</v>
      </c>
      <c r="J472" s="64" t="s">
        <v>16</v>
      </c>
      <c r="K472" s="64" t="s">
        <v>28</v>
      </c>
      <c r="L472" s="64">
        <v>2.2999999999999998</v>
      </c>
      <c r="M472" s="66">
        <v>6.5574123436538859E-2</v>
      </c>
      <c r="N472" s="64">
        <v>2286.59</v>
      </c>
      <c r="O472" s="64" t="s">
        <v>18</v>
      </c>
    </row>
    <row r="473" spans="1:15" x14ac:dyDescent="0.3">
      <c r="A473" s="64">
        <v>472</v>
      </c>
      <c r="B473" s="64">
        <v>7157</v>
      </c>
      <c r="C473" s="64" t="s">
        <v>13</v>
      </c>
      <c r="D473" s="64" t="s">
        <v>14</v>
      </c>
      <c r="E473" s="64">
        <v>31823</v>
      </c>
      <c r="F473" s="64">
        <v>1</v>
      </c>
      <c r="G473" s="64">
        <v>31823</v>
      </c>
      <c r="H473" s="65">
        <v>45309</v>
      </c>
      <c r="I473" s="64" t="s">
        <v>15</v>
      </c>
      <c r="J473" s="64" t="s">
        <v>31</v>
      </c>
      <c r="K473" s="64" t="s">
        <v>24</v>
      </c>
      <c r="L473" s="64">
        <v>2.5</v>
      </c>
      <c r="M473" s="66">
        <v>0.21080570656443454</v>
      </c>
      <c r="N473" s="64">
        <v>2838.43</v>
      </c>
      <c r="O473" s="64" t="s">
        <v>18</v>
      </c>
    </row>
    <row r="474" spans="1:15" x14ac:dyDescent="0.3">
      <c r="A474" s="64">
        <v>473</v>
      </c>
      <c r="B474" s="64">
        <v>8139</v>
      </c>
      <c r="C474" s="64" t="s">
        <v>32</v>
      </c>
      <c r="D474" s="64" t="s">
        <v>20</v>
      </c>
      <c r="E474" s="64">
        <v>22602</v>
      </c>
      <c r="F474" s="64">
        <v>4</v>
      </c>
      <c r="G474" s="64">
        <v>90408</v>
      </c>
      <c r="H474" s="65">
        <v>45648</v>
      </c>
      <c r="I474" s="64" t="s">
        <v>15</v>
      </c>
      <c r="J474" s="64" t="s">
        <v>27</v>
      </c>
      <c r="K474" s="64" t="s">
        <v>17</v>
      </c>
      <c r="L474" s="64">
        <v>1.2</v>
      </c>
      <c r="M474" s="66">
        <v>0.18249955756127775</v>
      </c>
      <c r="N474" s="64">
        <v>10622.98</v>
      </c>
      <c r="O474" s="64" t="s">
        <v>22</v>
      </c>
    </row>
    <row r="475" spans="1:15" x14ac:dyDescent="0.3">
      <c r="A475" s="64">
        <v>474</v>
      </c>
      <c r="B475" s="64">
        <v>8363</v>
      </c>
      <c r="C475" s="64" t="s">
        <v>23</v>
      </c>
      <c r="D475" s="64" t="s">
        <v>20</v>
      </c>
      <c r="E475" s="64">
        <v>15077</v>
      </c>
      <c r="F475" s="64">
        <v>1</v>
      </c>
      <c r="G475" s="64">
        <v>15077</v>
      </c>
      <c r="H475" s="65">
        <v>45364</v>
      </c>
      <c r="I475" s="64" t="s">
        <v>15</v>
      </c>
      <c r="J475" s="64" t="s">
        <v>35</v>
      </c>
      <c r="K475" s="64" t="s">
        <v>24</v>
      </c>
      <c r="L475" s="64">
        <v>3.5</v>
      </c>
      <c r="M475" s="66">
        <v>0.10136233998806128</v>
      </c>
      <c r="N475" s="64">
        <v>2994.86</v>
      </c>
      <c r="O475" s="64" t="s">
        <v>22</v>
      </c>
    </row>
    <row r="476" spans="1:15" x14ac:dyDescent="0.3">
      <c r="A476" s="64">
        <v>475</v>
      </c>
      <c r="B476" s="64">
        <v>3699</v>
      </c>
      <c r="C476" s="64" t="s">
        <v>32</v>
      </c>
      <c r="D476" s="64" t="s">
        <v>20</v>
      </c>
      <c r="E476" s="64">
        <v>36508</v>
      </c>
      <c r="F476" s="64">
        <v>5</v>
      </c>
      <c r="G476" s="64">
        <v>182540</v>
      </c>
      <c r="H476" s="65">
        <v>45298</v>
      </c>
      <c r="I476" s="64" t="s">
        <v>15</v>
      </c>
      <c r="J476" s="64" t="s">
        <v>27</v>
      </c>
      <c r="K476" s="64" t="s">
        <v>24</v>
      </c>
      <c r="L476" s="64">
        <v>2.5</v>
      </c>
      <c r="M476" s="66">
        <v>9.2115755450860093E-2</v>
      </c>
      <c r="N476" s="64">
        <v>37947.19</v>
      </c>
      <c r="O476" s="64" t="s">
        <v>18</v>
      </c>
    </row>
    <row r="477" spans="1:15" x14ac:dyDescent="0.3">
      <c r="A477" s="64">
        <v>476</v>
      </c>
      <c r="B477" s="64">
        <v>9063</v>
      </c>
      <c r="C477" s="64" t="s">
        <v>29</v>
      </c>
      <c r="D477" s="64" t="s">
        <v>25</v>
      </c>
      <c r="E477" s="64">
        <v>49424</v>
      </c>
      <c r="F477" s="64">
        <v>5</v>
      </c>
      <c r="G477" s="64">
        <v>247120</v>
      </c>
      <c r="H477" s="65">
        <v>45474</v>
      </c>
      <c r="I477" s="64" t="s">
        <v>26</v>
      </c>
      <c r="J477" s="64" t="s">
        <v>31</v>
      </c>
      <c r="K477" s="64" t="s">
        <v>24</v>
      </c>
      <c r="L477" s="64">
        <v>3.3</v>
      </c>
      <c r="M477" s="66">
        <v>6.3428172547750086E-2</v>
      </c>
      <c r="N477" s="64">
        <v>58461.63</v>
      </c>
      <c r="O477" s="64" t="s">
        <v>22</v>
      </c>
    </row>
    <row r="478" spans="1:15" x14ac:dyDescent="0.3">
      <c r="A478" s="64">
        <v>477</v>
      </c>
      <c r="B478" s="64">
        <v>4167</v>
      </c>
      <c r="C478" s="64" t="s">
        <v>19</v>
      </c>
      <c r="D478" s="64" t="s">
        <v>25</v>
      </c>
      <c r="E478" s="64">
        <v>17750</v>
      </c>
      <c r="F478" s="64">
        <v>3</v>
      </c>
      <c r="G478" s="64">
        <v>53250</v>
      </c>
      <c r="H478" s="65">
        <v>45374</v>
      </c>
      <c r="I478" s="64" t="s">
        <v>30</v>
      </c>
      <c r="J478" s="64" t="s">
        <v>31</v>
      </c>
      <c r="K478" s="64" t="s">
        <v>24</v>
      </c>
      <c r="L478" s="64">
        <v>2.8</v>
      </c>
      <c r="M478" s="66">
        <v>0.11851605633802816</v>
      </c>
      <c r="N478" s="64">
        <v>9664.02</v>
      </c>
      <c r="O478" s="64" t="s">
        <v>18</v>
      </c>
    </row>
    <row r="479" spans="1:15" x14ac:dyDescent="0.3">
      <c r="A479" s="64">
        <v>478</v>
      </c>
      <c r="B479" s="64">
        <v>1134</v>
      </c>
      <c r="C479" s="64" t="s">
        <v>19</v>
      </c>
      <c r="D479" s="64" t="s">
        <v>25</v>
      </c>
      <c r="E479" s="64">
        <v>20814</v>
      </c>
      <c r="F479" s="64">
        <v>1</v>
      </c>
      <c r="G479" s="64">
        <v>20814</v>
      </c>
      <c r="H479" s="65">
        <v>45544</v>
      </c>
      <c r="I479" s="64" t="s">
        <v>33</v>
      </c>
      <c r="J479" s="64" t="s">
        <v>35</v>
      </c>
      <c r="K479" s="64" t="s">
        <v>28</v>
      </c>
      <c r="L479" s="64">
        <v>1.2</v>
      </c>
      <c r="M479" s="66">
        <v>0.16970981070433364</v>
      </c>
      <c r="N479" s="64">
        <v>2711.86</v>
      </c>
      <c r="O479" s="64" t="s">
        <v>22</v>
      </c>
    </row>
    <row r="480" spans="1:15" x14ac:dyDescent="0.3">
      <c r="A480" s="64">
        <v>479</v>
      </c>
      <c r="B480" s="64">
        <v>1585</v>
      </c>
      <c r="C480" s="64" t="s">
        <v>34</v>
      </c>
      <c r="D480" s="64" t="s">
        <v>20</v>
      </c>
      <c r="E480" s="64">
        <v>47114</v>
      </c>
      <c r="F480" s="64">
        <v>1</v>
      </c>
      <c r="G480" s="64">
        <v>47114</v>
      </c>
      <c r="H480" s="65">
        <v>45316</v>
      </c>
      <c r="I480" s="64" t="s">
        <v>15</v>
      </c>
      <c r="J480" s="64" t="s">
        <v>27</v>
      </c>
      <c r="K480" s="64" t="s">
        <v>24</v>
      </c>
      <c r="L480" s="64">
        <v>4.3</v>
      </c>
      <c r="M480" s="66">
        <v>0.22667826972874303</v>
      </c>
      <c r="N480" s="64">
        <v>3454.48</v>
      </c>
      <c r="O480" s="64" t="s">
        <v>22</v>
      </c>
    </row>
    <row r="481" spans="1:15" x14ac:dyDescent="0.3">
      <c r="A481" s="64">
        <v>480</v>
      </c>
      <c r="B481" s="64">
        <v>1621</v>
      </c>
      <c r="C481" s="64" t="s">
        <v>19</v>
      </c>
      <c r="D481" s="64" t="s">
        <v>14</v>
      </c>
      <c r="E481" s="64">
        <v>15778</v>
      </c>
      <c r="F481" s="64">
        <v>5</v>
      </c>
      <c r="G481" s="64">
        <v>78890</v>
      </c>
      <c r="H481" s="65">
        <v>45487</v>
      </c>
      <c r="I481" s="64" t="s">
        <v>30</v>
      </c>
      <c r="J481" s="64" t="s">
        <v>35</v>
      </c>
      <c r="K481" s="64" t="s">
        <v>24</v>
      </c>
      <c r="L481" s="64">
        <v>1.3</v>
      </c>
      <c r="M481" s="66">
        <v>0.28856483711497022</v>
      </c>
      <c r="N481" s="64">
        <v>902.12</v>
      </c>
      <c r="O481" s="64" t="s">
        <v>18</v>
      </c>
    </row>
    <row r="482" spans="1:15" x14ac:dyDescent="0.3">
      <c r="A482" s="64">
        <v>481</v>
      </c>
      <c r="B482" s="64">
        <v>5588</v>
      </c>
      <c r="C482" s="64" t="s">
        <v>32</v>
      </c>
      <c r="D482" s="64" t="s">
        <v>14</v>
      </c>
      <c r="E482" s="64">
        <v>45973</v>
      </c>
      <c r="F482" s="64">
        <v>5</v>
      </c>
      <c r="G482" s="64">
        <v>229865</v>
      </c>
      <c r="H482" s="65">
        <v>45415</v>
      </c>
      <c r="I482" s="64" t="s">
        <v>33</v>
      </c>
      <c r="J482" s="64" t="s">
        <v>27</v>
      </c>
      <c r="K482" s="64" t="s">
        <v>17</v>
      </c>
      <c r="L482" s="64">
        <v>3.6</v>
      </c>
      <c r="M482" s="66">
        <v>0.28612803167076328</v>
      </c>
      <c r="N482" s="64">
        <v>3188.68</v>
      </c>
      <c r="O482" s="64" t="s">
        <v>18</v>
      </c>
    </row>
    <row r="483" spans="1:15" x14ac:dyDescent="0.3">
      <c r="A483" s="64">
        <v>482</v>
      </c>
      <c r="B483" s="64">
        <v>1959</v>
      </c>
      <c r="C483" s="64" t="s">
        <v>19</v>
      </c>
      <c r="D483" s="64" t="s">
        <v>20</v>
      </c>
      <c r="E483" s="64">
        <v>3818</v>
      </c>
      <c r="F483" s="64">
        <v>2</v>
      </c>
      <c r="G483" s="64">
        <v>7636</v>
      </c>
      <c r="H483" s="65">
        <v>45321</v>
      </c>
      <c r="I483" s="64" t="s">
        <v>30</v>
      </c>
      <c r="J483" s="64" t="s">
        <v>31</v>
      </c>
      <c r="K483" s="64" t="s">
        <v>24</v>
      </c>
      <c r="L483" s="64">
        <v>3</v>
      </c>
      <c r="M483" s="66">
        <v>0.17132268203247775</v>
      </c>
      <c r="N483" s="64">
        <v>982.58</v>
      </c>
      <c r="O483" s="64" t="s">
        <v>22</v>
      </c>
    </row>
    <row r="484" spans="1:15" x14ac:dyDescent="0.3">
      <c r="A484" s="64">
        <v>483</v>
      </c>
      <c r="B484" s="64">
        <v>6729</v>
      </c>
      <c r="C484" s="64" t="s">
        <v>34</v>
      </c>
      <c r="D484" s="64" t="s">
        <v>20</v>
      </c>
      <c r="E484" s="64">
        <v>30977</v>
      </c>
      <c r="F484" s="64">
        <v>3</v>
      </c>
      <c r="G484" s="64">
        <v>92931</v>
      </c>
      <c r="H484" s="65">
        <v>45362</v>
      </c>
      <c r="I484" s="64" t="s">
        <v>26</v>
      </c>
      <c r="J484" s="64" t="s">
        <v>35</v>
      </c>
      <c r="K484" s="64" t="s">
        <v>17</v>
      </c>
      <c r="L484" s="64">
        <v>1.5</v>
      </c>
      <c r="M484" s="66">
        <v>0.29554906328351138</v>
      </c>
      <c r="N484" s="64">
        <v>413.63</v>
      </c>
      <c r="O484" s="64" t="s">
        <v>22</v>
      </c>
    </row>
    <row r="485" spans="1:15" x14ac:dyDescent="0.3">
      <c r="A485" s="64">
        <v>484</v>
      </c>
      <c r="B485" s="64">
        <v>1502</v>
      </c>
      <c r="C485" s="64" t="s">
        <v>34</v>
      </c>
      <c r="D485" s="64" t="s">
        <v>14</v>
      </c>
      <c r="E485" s="64">
        <v>26841</v>
      </c>
      <c r="F485" s="64">
        <v>1</v>
      </c>
      <c r="G485" s="64">
        <v>26841</v>
      </c>
      <c r="H485" s="65">
        <v>45436</v>
      </c>
      <c r="I485" s="64" t="s">
        <v>33</v>
      </c>
      <c r="J485" s="64" t="s">
        <v>31</v>
      </c>
      <c r="K485" s="64" t="s">
        <v>24</v>
      </c>
      <c r="L485" s="64">
        <v>3.7</v>
      </c>
      <c r="M485" s="66">
        <v>0.26116687157706492</v>
      </c>
      <c r="N485" s="64">
        <v>1042.32</v>
      </c>
      <c r="O485" s="64" t="s">
        <v>18</v>
      </c>
    </row>
    <row r="486" spans="1:15" x14ac:dyDescent="0.3">
      <c r="A486" s="64">
        <v>485</v>
      </c>
      <c r="B486" s="64">
        <v>6039</v>
      </c>
      <c r="C486" s="64" t="s">
        <v>13</v>
      </c>
      <c r="D486" s="64" t="s">
        <v>14</v>
      </c>
      <c r="E486" s="64">
        <v>35979</v>
      </c>
      <c r="F486" s="64">
        <v>1</v>
      </c>
      <c r="G486" s="64">
        <v>35979</v>
      </c>
      <c r="H486" s="65">
        <v>45653</v>
      </c>
      <c r="I486" s="64" t="s">
        <v>26</v>
      </c>
      <c r="J486" s="64" t="s">
        <v>16</v>
      </c>
      <c r="K486" s="64" t="s">
        <v>17</v>
      </c>
      <c r="L486" s="64">
        <v>2.2999999999999998</v>
      </c>
      <c r="M486" s="66">
        <v>0.11001806609411045</v>
      </c>
      <c r="N486" s="64">
        <v>6835.36</v>
      </c>
      <c r="O486" s="64" t="s">
        <v>22</v>
      </c>
    </row>
    <row r="487" spans="1:15" x14ac:dyDescent="0.3">
      <c r="A487" s="64">
        <v>486</v>
      </c>
      <c r="B487" s="64">
        <v>9354</v>
      </c>
      <c r="C487" s="64" t="s">
        <v>32</v>
      </c>
      <c r="D487" s="64" t="s">
        <v>14</v>
      </c>
      <c r="E487" s="64">
        <v>47008</v>
      </c>
      <c r="F487" s="64">
        <v>4</v>
      </c>
      <c r="G487" s="64">
        <v>188032</v>
      </c>
      <c r="H487" s="65">
        <v>45510</v>
      </c>
      <c r="I487" s="64" t="s">
        <v>30</v>
      </c>
      <c r="J487" s="64" t="s">
        <v>35</v>
      </c>
      <c r="K487" s="64" t="s">
        <v>28</v>
      </c>
      <c r="L487" s="64">
        <v>3.1</v>
      </c>
      <c r="M487" s="66">
        <v>0.24348403463240301</v>
      </c>
      <c r="N487" s="64">
        <v>10626.81</v>
      </c>
      <c r="O487" s="64" t="s">
        <v>18</v>
      </c>
    </row>
    <row r="488" spans="1:15" x14ac:dyDescent="0.3">
      <c r="A488" s="64">
        <v>487</v>
      </c>
      <c r="B488" s="64">
        <v>6834</v>
      </c>
      <c r="C488" s="64" t="s">
        <v>29</v>
      </c>
      <c r="D488" s="64" t="s">
        <v>14</v>
      </c>
      <c r="E488" s="64">
        <v>34646</v>
      </c>
      <c r="F488" s="64">
        <v>2</v>
      </c>
      <c r="G488" s="64">
        <v>69292</v>
      </c>
      <c r="H488" s="65">
        <v>45608</v>
      </c>
      <c r="I488" s="64" t="s">
        <v>30</v>
      </c>
      <c r="J488" s="64" t="s">
        <v>16</v>
      </c>
      <c r="K488" s="64" t="s">
        <v>24</v>
      </c>
      <c r="L488" s="64">
        <v>1.7</v>
      </c>
      <c r="M488" s="66">
        <v>0.20893551925186168</v>
      </c>
      <c r="N488" s="64">
        <v>6310.04</v>
      </c>
      <c r="O488" s="64" t="s">
        <v>18</v>
      </c>
    </row>
    <row r="489" spans="1:15" x14ac:dyDescent="0.3">
      <c r="A489" s="64">
        <v>488</v>
      </c>
      <c r="B489" s="64">
        <v>3776</v>
      </c>
      <c r="C489" s="64" t="s">
        <v>19</v>
      </c>
      <c r="D489" s="64" t="s">
        <v>25</v>
      </c>
      <c r="E489" s="64">
        <v>16550</v>
      </c>
      <c r="F489" s="64">
        <v>4</v>
      </c>
      <c r="G489" s="64">
        <v>66200</v>
      </c>
      <c r="H489" s="65">
        <v>45413</v>
      </c>
      <c r="I489" s="64" t="s">
        <v>15</v>
      </c>
      <c r="J489" s="64" t="s">
        <v>35</v>
      </c>
      <c r="K489" s="64" t="s">
        <v>24</v>
      </c>
      <c r="L489" s="64">
        <v>1.8</v>
      </c>
      <c r="M489" s="66">
        <v>9.8530362537764357E-2</v>
      </c>
      <c r="N489" s="64">
        <v>13337.29</v>
      </c>
      <c r="O489" s="64" t="s">
        <v>18</v>
      </c>
    </row>
    <row r="490" spans="1:15" x14ac:dyDescent="0.3">
      <c r="A490" s="64">
        <v>489</v>
      </c>
      <c r="B490" s="64">
        <v>3955</v>
      </c>
      <c r="C490" s="64" t="s">
        <v>32</v>
      </c>
      <c r="D490" s="64" t="s">
        <v>14</v>
      </c>
      <c r="E490" s="64">
        <v>40832</v>
      </c>
      <c r="F490" s="64">
        <v>2</v>
      </c>
      <c r="G490" s="64">
        <v>81664</v>
      </c>
      <c r="H490" s="65">
        <v>45366</v>
      </c>
      <c r="I490" s="64" t="s">
        <v>33</v>
      </c>
      <c r="J490" s="64" t="s">
        <v>31</v>
      </c>
      <c r="K490" s="64" t="s">
        <v>17</v>
      </c>
      <c r="L490" s="64">
        <v>2.6</v>
      </c>
      <c r="M490" s="66">
        <v>0.29341631563479625</v>
      </c>
      <c r="N490" s="64">
        <v>537.65</v>
      </c>
      <c r="O490" s="64" t="s">
        <v>18</v>
      </c>
    </row>
    <row r="491" spans="1:15" x14ac:dyDescent="0.3">
      <c r="A491" s="64">
        <v>490</v>
      </c>
      <c r="B491" s="64">
        <v>3471</v>
      </c>
      <c r="C491" s="64" t="s">
        <v>32</v>
      </c>
      <c r="D491" s="64" t="s">
        <v>25</v>
      </c>
      <c r="E491" s="64">
        <v>46132</v>
      </c>
      <c r="F491" s="64">
        <v>1</v>
      </c>
      <c r="G491" s="64">
        <v>46132</v>
      </c>
      <c r="H491" s="65">
        <v>45522</v>
      </c>
      <c r="I491" s="64" t="s">
        <v>15</v>
      </c>
      <c r="J491" s="64" t="s">
        <v>21</v>
      </c>
      <c r="K491" s="64" t="s">
        <v>17</v>
      </c>
      <c r="L491" s="64">
        <v>2.1</v>
      </c>
      <c r="M491" s="66">
        <v>6.3105870111852938E-2</v>
      </c>
      <c r="N491" s="64">
        <v>10928.4</v>
      </c>
      <c r="O491" s="64" t="s">
        <v>18</v>
      </c>
    </row>
    <row r="492" spans="1:15" x14ac:dyDescent="0.3">
      <c r="A492" s="64">
        <v>491</v>
      </c>
      <c r="B492" s="64">
        <v>2051</v>
      </c>
      <c r="C492" s="64" t="s">
        <v>13</v>
      </c>
      <c r="D492" s="64" t="s">
        <v>25</v>
      </c>
      <c r="E492" s="64">
        <v>28182</v>
      </c>
      <c r="F492" s="64">
        <v>3</v>
      </c>
      <c r="G492" s="64">
        <v>84546</v>
      </c>
      <c r="H492" s="65">
        <v>45548</v>
      </c>
      <c r="I492" s="64" t="s">
        <v>26</v>
      </c>
      <c r="J492" s="64" t="s">
        <v>16</v>
      </c>
      <c r="K492" s="64" t="s">
        <v>28</v>
      </c>
      <c r="L492" s="64">
        <v>1.8</v>
      </c>
      <c r="M492" s="66">
        <v>5.2070588791900262E-2</v>
      </c>
      <c r="N492" s="64">
        <v>20961.439999999999</v>
      </c>
      <c r="O492" s="64" t="s">
        <v>22</v>
      </c>
    </row>
    <row r="493" spans="1:15" x14ac:dyDescent="0.3">
      <c r="A493" s="64">
        <v>492</v>
      </c>
      <c r="B493" s="64">
        <v>5681</v>
      </c>
      <c r="C493" s="64" t="s">
        <v>19</v>
      </c>
      <c r="D493" s="64" t="s">
        <v>25</v>
      </c>
      <c r="E493" s="64">
        <v>31957</v>
      </c>
      <c r="F493" s="64">
        <v>2</v>
      </c>
      <c r="G493" s="64">
        <v>63914</v>
      </c>
      <c r="H493" s="65">
        <v>45604</v>
      </c>
      <c r="I493" s="64" t="s">
        <v>26</v>
      </c>
      <c r="J493" s="64" t="s">
        <v>16</v>
      </c>
      <c r="K493" s="64" t="s">
        <v>17</v>
      </c>
      <c r="L493" s="64">
        <v>3.2</v>
      </c>
      <c r="M493" s="66">
        <v>0.14265372218919173</v>
      </c>
      <c r="N493" s="64">
        <v>10056.629999999999</v>
      </c>
      <c r="O493" s="64" t="s">
        <v>18</v>
      </c>
    </row>
    <row r="494" spans="1:15" x14ac:dyDescent="0.3">
      <c r="A494" s="64">
        <v>493</v>
      </c>
      <c r="B494" s="64">
        <v>3427</v>
      </c>
      <c r="C494" s="64" t="s">
        <v>32</v>
      </c>
      <c r="D494" s="64" t="s">
        <v>14</v>
      </c>
      <c r="E494" s="64">
        <v>34193</v>
      </c>
      <c r="F494" s="64">
        <v>4</v>
      </c>
      <c r="G494" s="64">
        <v>136772</v>
      </c>
      <c r="H494" s="65">
        <v>45584</v>
      </c>
      <c r="I494" s="64" t="s">
        <v>26</v>
      </c>
      <c r="J494" s="64" t="s">
        <v>16</v>
      </c>
      <c r="K494" s="64" t="s">
        <v>24</v>
      </c>
      <c r="L494" s="64">
        <v>1.5</v>
      </c>
      <c r="M494" s="66">
        <v>0.13368306378498521</v>
      </c>
      <c r="N494" s="64">
        <v>22747.5</v>
      </c>
      <c r="O494" s="64" t="s">
        <v>22</v>
      </c>
    </row>
    <row r="495" spans="1:15" x14ac:dyDescent="0.3">
      <c r="A495" s="64">
        <v>494</v>
      </c>
      <c r="B495" s="64">
        <v>8659</v>
      </c>
      <c r="C495" s="64" t="s">
        <v>23</v>
      </c>
      <c r="D495" s="64" t="s">
        <v>25</v>
      </c>
      <c r="E495" s="64">
        <v>31982</v>
      </c>
      <c r="F495" s="64">
        <v>4</v>
      </c>
      <c r="G495" s="64">
        <v>127928</v>
      </c>
      <c r="H495" s="65">
        <v>45363</v>
      </c>
      <c r="I495" s="64" t="s">
        <v>33</v>
      </c>
      <c r="J495" s="64" t="s">
        <v>35</v>
      </c>
      <c r="K495" s="64" t="s">
        <v>24</v>
      </c>
      <c r="L495" s="64">
        <v>2.5</v>
      </c>
      <c r="M495" s="66">
        <v>0.16939731724094803</v>
      </c>
      <c r="N495" s="64">
        <v>16707.740000000002</v>
      </c>
      <c r="O495" s="64" t="s">
        <v>18</v>
      </c>
    </row>
    <row r="496" spans="1:15" x14ac:dyDescent="0.3">
      <c r="A496" s="64">
        <v>495</v>
      </c>
      <c r="B496" s="64">
        <v>7204</v>
      </c>
      <c r="C496" s="64" t="s">
        <v>13</v>
      </c>
      <c r="D496" s="64" t="s">
        <v>14</v>
      </c>
      <c r="E496" s="64">
        <v>46472</v>
      </c>
      <c r="F496" s="64">
        <v>3</v>
      </c>
      <c r="G496" s="64">
        <v>139416</v>
      </c>
      <c r="H496" s="65">
        <v>45490</v>
      </c>
      <c r="I496" s="64" t="s">
        <v>30</v>
      </c>
      <c r="J496" s="64" t="s">
        <v>27</v>
      </c>
      <c r="K496" s="64" t="s">
        <v>24</v>
      </c>
      <c r="L496" s="64">
        <v>4.5</v>
      </c>
      <c r="M496" s="66">
        <v>0.19593547369025077</v>
      </c>
      <c r="N496" s="64">
        <v>14508.26</v>
      </c>
      <c r="O496" s="64" t="s">
        <v>18</v>
      </c>
    </row>
    <row r="497" spans="1:15" x14ac:dyDescent="0.3">
      <c r="A497" s="64">
        <v>496</v>
      </c>
      <c r="B497" s="64">
        <v>6808</v>
      </c>
      <c r="C497" s="64" t="s">
        <v>29</v>
      </c>
      <c r="D497" s="64" t="s">
        <v>20</v>
      </c>
      <c r="E497" s="64">
        <v>6022</v>
      </c>
      <c r="F497" s="64">
        <v>1</v>
      </c>
      <c r="G497" s="64">
        <v>6022</v>
      </c>
      <c r="H497" s="65">
        <v>45349</v>
      </c>
      <c r="I497" s="64" t="s">
        <v>15</v>
      </c>
      <c r="J497" s="64" t="s">
        <v>16</v>
      </c>
      <c r="K497" s="64" t="s">
        <v>28</v>
      </c>
      <c r="L497" s="64">
        <v>4.5999999999999996</v>
      </c>
      <c r="M497" s="66">
        <v>0.16771504483560279</v>
      </c>
      <c r="N497" s="64">
        <v>796.62</v>
      </c>
      <c r="O497" s="64" t="s">
        <v>18</v>
      </c>
    </row>
    <row r="498" spans="1:15" x14ac:dyDescent="0.3">
      <c r="A498" s="64">
        <v>497</v>
      </c>
      <c r="B498" s="64">
        <v>2546</v>
      </c>
      <c r="C498" s="64" t="s">
        <v>23</v>
      </c>
      <c r="D498" s="64" t="s">
        <v>14</v>
      </c>
      <c r="E498" s="64">
        <v>47154</v>
      </c>
      <c r="F498" s="64">
        <v>4</v>
      </c>
      <c r="G498" s="64">
        <v>188616</v>
      </c>
      <c r="H498" s="65">
        <v>45313</v>
      </c>
      <c r="I498" s="64" t="s">
        <v>26</v>
      </c>
      <c r="J498" s="64" t="s">
        <v>16</v>
      </c>
      <c r="K498" s="64" t="s">
        <v>17</v>
      </c>
      <c r="L498" s="64">
        <v>4.0999999999999996</v>
      </c>
      <c r="M498" s="66">
        <v>0.15123128472664038</v>
      </c>
      <c r="N498" s="64">
        <v>28060.16</v>
      </c>
      <c r="O498" s="64" t="s">
        <v>18</v>
      </c>
    </row>
    <row r="499" spans="1:15" x14ac:dyDescent="0.3">
      <c r="A499" s="64">
        <v>498</v>
      </c>
      <c r="B499" s="64">
        <v>2966</v>
      </c>
      <c r="C499" s="64" t="s">
        <v>19</v>
      </c>
      <c r="D499" s="64" t="s">
        <v>25</v>
      </c>
      <c r="E499" s="64">
        <v>23162</v>
      </c>
      <c r="F499" s="64">
        <v>4</v>
      </c>
      <c r="G499" s="64">
        <v>92648</v>
      </c>
      <c r="H499" s="65">
        <v>45373</v>
      </c>
      <c r="I499" s="64" t="s">
        <v>15</v>
      </c>
      <c r="J499" s="64" t="s">
        <v>21</v>
      </c>
      <c r="K499" s="64" t="s">
        <v>24</v>
      </c>
      <c r="L499" s="64">
        <v>1.3</v>
      </c>
      <c r="M499" s="66">
        <v>0.18458574389085572</v>
      </c>
      <c r="N499" s="64">
        <v>10692.9</v>
      </c>
      <c r="O499" s="64" t="s">
        <v>22</v>
      </c>
    </row>
    <row r="500" spans="1:15" x14ac:dyDescent="0.3">
      <c r="A500" s="64">
        <v>499</v>
      </c>
      <c r="B500" s="64">
        <v>5879</v>
      </c>
      <c r="C500" s="64" t="s">
        <v>34</v>
      </c>
      <c r="D500" s="64" t="s">
        <v>14</v>
      </c>
      <c r="E500" s="64">
        <v>45082</v>
      </c>
      <c r="F500" s="64">
        <v>1</v>
      </c>
      <c r="G500" s="64">
        <v>45082</v>
      </c>
      <c r="H500" s="65">
        <v>45359</v>
      </c>
      <c r="I500" s="64" t="s">
        <v>26</v>
      </c>
      <c r="J500" s="64" t="s">
        <v>16</v>
      </c>
      <c r="K500" s="64" t="s">
        <v>28</v>
      </c>
      <c r="L500" s="64">
        <v>1.9</v>
      </c>
      <c r="M500" s="66">
        <v>7.0974668382059361E-2</v>
      </c>
      <c r="N500" s="64">
        <v>10324.92</v>
      </c>
      <c r="O500" s="64" t="s">
        <v>18</v>
      </c>
    </row>
    <row r="501" spans="1:15" x14ac:dyDescent="0.3">
      <c r="A501" s="64">
        <v>500</v>
      </c>
      <c r="B501" s="64">
        <v>3171</v>
      </c>
      <c r="C501" s="64" t="s">
        <v>29</v>
      </c>
      <c r="D501" s="64" t="s">
        <v>25</v>
      </c>
      <c r="E501" s="64">
        <v>49548</v>
      </c>
      <c r="F501" s="64">
        <v>3</v>
      </c>
      <c r="G501" s="64">
        <v>148644</v>
      </c>
      <c r="H501" s="65">
        <v>45438</v>
      </c>
      <c r="I501" s="64" t="s">
        <v>30</v>
      </c>
      <c r="J501" s="64" t="s">
        <v>21</v>
      </c>
      <c r="K501" s="64" t="s">
        <v>17</v>
      </c>
      <c r="L501" s="64">
        <v>2.4</v>
      </c>
      <c r="M501" s="66">
        <v>0.21818976884368019</v>
      </c>
      <c r="N501" s="64">
        <v>12160.6</v>
      </c>
      <c r="O501" s="64" t="s">
        <v>22</v>
      </c>
    </row>
    <row r="502" spans="1:15" x14ac:dyDescent="0.3">
      <c r="A502" s="64">
        <v>501</v>
      </c>
      <c r="B502" s="64">
        <v>9159</v>
      </c>
      <c r="C502" s="64" t="s">
        <v>34</v>
      </c>
      <c r="D502" s="64" t="s">
        <v>14</v>
      </c>
      <c r="E502" s="64">
        <v>28562</v>
      </c>
      <c r="F502" s="64">
        <v>3</v>
      </c>
      <c r="G502" s="64">
        <v>85686</v>
      </c>
      <c r="H502" s="65">
        <v>45645</v>
      </c>
      <c r="I502" s="64" t="s">
        <v>30</v>
      </c>
      <c r="J502" s="64" t="s">
        <v>31</v>
      </c>
      <c r="K502" s="64" t="s">
        <v>17</v>
      </c>
      <c r="L502" s="64">
        <v>5</v>
      </c>
      <c r="M502" s="66">
        <v>0.10821476087108746</v>
      </c>
      <c r="N502" s="64">
        <v>16433.310000000001</v>
      </c>
      <c r="O502" s="64" t="s">
        <v>18</v>
      </c>
    </row>
    <row r="503" spans="1:15" x14ac:dyDescent="0.3">
      <c r="A503" s="64">
        <v>502</v>
      </c>
      <c r="B503" s="64">
        <v>7290</v>
      </c>
      <c r="C503" s="64" t="s">
        <v>23</v>
      </c>
      <c r="D503" s="64" t="s">
        <v>20</v>
      </c>
      <c r="E503" s="64">
        <v>47640</v>
      </c>
      <c r="F503" s="64">
        <v>2</v>
      </c>
      <c r="G503" s="64">
        <v>95280</v>
      </c>
      <c r="H503" s="65">
        <v>45315</v>
      </c>
      <c r="I503" s="64" t="s">
        <v>33</v>
      </c>
      <c r="J503" s="64" t="s">
        <v>35</v>
      </c>
      <c r="K503" s="64" t="s">
        <v>17</v>
      </c>
      <c r="L503" s="64">
        <v>4.9000000000000004</v>
      </c>
      <c r="M503" s="66">
        <v>0.2564759655751469</v>
      </c>
      <c r="N503" s="64">
        <v>4146.97</v>
      </c>
      <c r="O503" s="64" t="s">
        <v>18</v>
      </c>
    </row>
    <row r="504" spans="1:15" x14ac:dyDescent="0.3">
      <c r="A504" s="64">
        <v>503</v>
      </c>
      <c r="B504" s="64">
        <v>7581</v>
      </c>
      <c r="C504" s="64" t="s">
        <v>23</v>
      </c>
      <c r="D504" s="64" t="s">
        <v>20</v>
      </c>
      <c r="E504" s="64">
        <v>568</v>
      </c>
      <c r="F504" s="64">
        <v>3</v>
      </c>
      <c r="G504" s="64">
        <v>1704</v>
      </c>
      <c r="H504" s="65">
        <v>45646</v>
      </c>
      <c r="I504" s="64" t="s">
        <v>15</v>
      </c>
      <c r="J504" s="64" t="s">
        <v>35</v>
      </c>
      <c r="K504" s="64" t="s">
        <v>17</v>
      </c>
      <c r="L504" s="64">
        <v>4.2</v>
      </c>
      <c r="M504" s="66">
        <v>6.4313380281690147E-2</v>
      </c>
      <c r="N504" s="64">
        <v>401.61</v>
      </c>
      <c r="O504" s="64" t="s">
        <v>18</v>
      </c>
    </row>
    <row r="505" spans="1:15" x14ac:dyDescent="0.3">
      <c r="A505" s="64">
        <v>504</v>
      </c>
      <c r="B505" s="64">
        <v>8628</v>
      </c>
      <c r="C505" s="64" t="s">
        <v>32</v>
      </c>
      <c r="D505" s="64" t="s">
        <v>25</v>
      </c>
      <c r="E505" s="64">
        <v>11119</v>
      </c>
      <c r="F505" s="64">
        <v>2</v>
      </c>
      <c r="G505" s="64">
        <v>22238</v>
      </c>
      <c r="H505" s="65">
        <v>45616</v>
      </c>
      <c r="I505" s="64" t="s">
        <v>26</v>
      </c>
      <c r="J505" s="64" t="s">
        <v>21</v>
      </c>
      <c r="K505" s="64" t="s">
        <v>24</v>
      </c>
      <c r="L505" s="64">
        <v>3</v>
      </c>
      <c r="M505" s="66">
        <v>0.26707392751146686</v>
      </c>
      <c r="N505" s="64">
        <v>732.21</v>
      </c>
      <c r="O505" s="64" t="s">
        <v>18</v>
      </c>
    </row>
    <row r="506" spans="1:15" x14ac:dyDescent="0.3">
      <c r="A506" s="64">
        <v>505</v>
      </c>
      <c r="B506" s="64">
        <v>5173</v>
      </c>
      <c r="C506" s="64" t="s">
        <v>19</v>
      </c>
      <c r="D506" s="64" t="s">
        <v>14</v>
      </c>
      <c r="E506" s="64">
        <v>17472</v>
      </c>
      <c r="F506" s="64">
        <v>5</v>
      </c>
      <c r="G506" s="64">
        <v>87360</v>
      </c>
      <c r="H506" s="65">
        <v>45583</v>
      </c>
      <c r="I506" s="64" t="s">
        <v>30</v>
      </c>
      <c r="J506" s="64" t="s">
        <v>21</v>
      </c>
      <c r="K506" s="64" t="s">
        <v>28</v>
      </c>
      <c r="L506" s="64">
        <v>3.1</v>
      </c>
      <c r="M506" s="66">
        <v>5.8433951465201465E-2</v>
      </c>
      <c r="N506" s="64">
        <v>21103.21</v>
      </c>
      <c r="O506" s="64" t="s">
        <v>18</v>
      </c>
    </row>
    <row r="507" spans="1:15" x14ac:dyDescent="0.3">
      <c r="A507" s="64">
        <v>506</v>
      </c>
      <c r="B507" s="64">
        <v>6043</v>
      </c>
      <c r="C507" s="64" t="s">
        <v>23</v>
      </c>
      <c r="D507" s="64" t="s">
        <v>25</v>
      </c>
      <c r="E507" s="64">
        <v>17098</v>
      </c>
      <c r="F507" s="64">
        <v>5</v>
      </c>
      <c r="G507" s="64">
        <v>85490</v>
      </c>
      <c r="H507" s="65">
        <v>45382</v>
      </c>
      <c r="I507" s="64" t="s">
        <v>33</v>
      </c>
      <c r="J507" s="64" t="s">
        <v>35</v>
      </c>
      <c r="K507" s="64" t="s">
        <v>24</v>
      </c>
      <c r="L507" s="64">
        <v>3.3</v>
      </c>
      <c r="M507" s="66">
        <v>0.14305649783600421</v>
      </c>
      <c r="N507" s="64">
        <v>13417.1</v>
      </c>
      <c r="O507" s="64" t="s">
        <v>22</v>
      </c>
    </row>
    <row r="508" spans="1:15" x14ac:dyDescent="0.3">
      <c r="A508" s="64">
        <v>507</v>
      </c>
      <c r="B508" s="64">
        <v>5032</v>
      </c>
      <c r="C508" s="64" t="s">
        <v>19</v>
      </c>
      <c r="D508" s="64" t="s">
        <v>25</v>
      </c>
      <c r="E508" s="64">
        <v>46712</v>
      </c>
      <c r="F508" s="64">
        <v>3</v>
      </c>
      <c r="G508" s="64">
        <v>140136</v>
      </c>
      <c r="H508" s="65">
        <v>45482</v>
      </c>
      <c r="I508" s="64" t="s">
        <v>30</v>
      </c>
      <c r="J508" s="64" t="s">
        <v>31</v>
      </c>
      <c r="K508" s="64" t="s">
        <v>24</v>
      </c>
      <c r="L508" s="64">
        <v>4</v>
      </c>
      <c r="M508" s="66">
        <v>0.13926093223725525</v>
      </c>
      <c r="N508" s="64">
        <v>22525.33</v>
      </c>
      <c r="O508" s="64" t="s">
        <v>18</v>
      </c>
    </row>
    <row r="509" spans="1:15" x14ac:dyDescent="0.3">
      <c r="A509" s="64">
        <v>508</v>
      </c>
      <c r="B509" s="64">
        <v>3107</v>
      </c>
      <c r="C509" s="64" t="s">
        <v>29</v>
      </c>
      <c r="D509" s="64" t="s">
        <v>14</v>
      </c>
      <c r="E509" s="64">
        <v>36052</v>
      </c>
      <c r="F509" s="64">
        <v>1</v>
      </c>
      <c r="G509" s="64">
        <v>36052</v>
      </c>
      <c r="H509" s="65">
        <v>45511</v>
      </c>
      <c r="I509" s="64" t="s">
        <v>30</v>
      </c>
      <c r="J509" s="64" t="s">
        <v>16</v>
      </c>
      <c r="K509" s="64" t="s">
        <v>28</v>
      </c>
      <c r="L509" s="64">
        <v>1.9</v>
      </c>
      <c r="M509" s="66">
        <v>0.21914928436702541</v>
      </c>
      <c r="N509" s="64">
        <v>2914.83</v>
      </c>
      <c r="O509" s="64" t="s">
        <v>22</v>
      </c>
    </row>
    <row r="510" spans="1:15" x14ac:dyDescent="0.3">
      <c r="A510" s="64">
        <v>509</v>
      </c>
      <c r="B510" s="64">
        <v>9563</v>
      </c>
      <c r="C510" s="64" t="s">
        <v>13</v>
      </c>
      <c r="D510" s="64" t="s">
        <v>14</v>
      </c>
      <c r="E510" s="64">
        <v>25694</v>
      </c>
      <c r="F510" s="64">
        <v>3</v>
      </c>
      <c r="G510" s="64">
        <v>77082</v>
      </c>
      <c r="H510" s="65">
        <v>45340</v>
      </c>
      <c r="I510" s="64" t="s">
        <v>26</v>
      </c>
      <c r="J510" s="64" t="s">
        <v>35</v>
      </c>
      <c r="K510" s="64" t="s">
        <v>17</v>
      </c>
      <c r="L510" s="64">
        <v>4.9000000000000004</v>
      </c>
      <c r="M510" s="66">
        <v>8.6456500869204228E-2</v>
      </c>
      <c r="N510" s="64">
        <v>16460.36</v>
      </c>
      <c r="O510" s="64" t="s">
        <v>22</v>
      </c>
    </row>
    <row r="511" spans="1:15" x14ac:dyDescent="0.3">
      <c r="A511" s="64">
        <v>510</v>
      </c>
      <c r="B511" s="64">
        <v>3737</v>
      </c>
      <c r="C511" s="64" t="s">
        <v>32</v>
      </c>
      <c r="D511" s="64" t="s">
        <v>14</v>
      </c>
      <c r="E511" s="64">
        <v>39524</v>
      </c>
      <c r="F511" s="64">
        <v>3</v>
      </c>
      <c r="G511" s="64">
        <v>118572</v>
      </c>
      <c r="H511" s="65">
        <v>45303</v>
      </c>
      <c r="I511" s="64" t="s">
        <v>26</v>
      </c>
      <c r="J511" s="64" t="s">
        <v>35</v>
      </c>
      <c r="K511" s="64" t="s">
        <v>28</v>
      </c>
      <c r="L511" s="64">
        <v>2.6</v>
      </c>
      <c r="M511" s="66">
        <v>0.13235814526195053</v>
      </c>
      <c r="N511" s="64">
        <v>19877.63</v>
      </c>
      <c r="O511" s="64" t="s">
        <v>18</v>
      </c>
    </row>
    <row r="512" spans="1:15" x14ac:dyDescent="0.3">
      <c r="A512" s="64">
        <v>511</v>
      </c>
      <c r="B512" s="64">
        <v>4457</v>
      </c>
      <c r="C512" s="64" t="s">
        <v>29</v>
      </c>
      <c r="D512" s="64" t="s">
        <v>25</v>
      </c>
      <c r="E512" s="64">
        <v>31307</v>
      </c>
      <c r="F512" s="64">
        <v>5</v>
      </c>
      <c r="G512" s="64">
        <v>156535</v>
      </c>
      <c r="H512" s="65">
        <v>45448</v>
      </c>
      <c r="I512" s="64" t="s">
        <v>33</v>
      </c>
      <c r="J512" s="64" t="s">
        <v>27</v>
      </c>
      <c r="K512" s="64" t="s">
        <v>24</v>
      </c>
      <c r="L512" s="64">
        <v>3.1</v>
      </c>
      <c r="M512" s="66">
        <v>0.25508161114127831</v>
      </c>
      <c r="N512" s="64">
        <v>7031.3</v>
      </c>
      <c r="O512" s="64" t="s">
        <v>22</v>
      </c>
    </row>
    <row r="513" spans="1:15" x14ac:dyDescent="0.3">
      <c r="A513" s="64">
        <v>512</v>
      </c>
      <c r="B513" s="64">
        <v>7161</v>
      </c>
      <c r="C513" s="64" t="s">
        <v>13</v>
      </c>
      <c r="D513" s="64" t="s">
        <v>20</v>
      </c>
      <c r="E513" s="64">
        <v>11747</v>
      </c>
      <c r="F513" s="64">
        <v>1</v>
      </c>
      <c r="G513" s="64">
        <v>11747</v>
      </c>
      <c r="H513" s="65">
        <v>45292</v>
      </c>
      <c r="I513" s="64" t="s">
        <v>30</v>
      </c>
      <c r="J513" s="64" t="s">
        <v>21</v>
      </c>
      <c r="K513" s="64" t="s">
        <v>28</v>
      </c>
      <c r="L513" s="64">
        <v>4.8</v>
      </c>
      <c r="M513" s="66">
        <v>9.3089299395590366E-2</v>
      </c>
      <c r="N513" s="64">
        <v>2430.58</v>
      </c>
      <c r="O513" s="64" t="s">
        <v>22</v>
      </c>
    </row>
    <row r="514" spans="1:15" x14ac:dyDescent="0.3">
      <c r="A514" s="64">
        <v>513</v>
      </c>
      <c r="B514" s="64">
        <v>2033</v>
      </c>
      <c r="C514" s="64" t="s">
        <v>34</v>
      </c>
      <c r="D514" s="64" t="s">
        <v>25</v>
      </c>
      <c r="E514" s="64">
        <v>1333</v>
      </c>
      <c r="F514" s="64">
        <v>3</v>
      </c>
      <c r="G514" s="64">
        <v>3999</v>
      </c>
      <c r="H514" s="65">
        <v>45551</v>
      </c>
      <c r="I514" s="64" t="s">
        <v>15</v>
      </c>
      <c r="J514" s="64" t="s">
        <v>21</v>
      </c>
      <c r="K514" s="64" t="s">
        <v>17</v>
      </c>
      <c r="L514" s="64">
        <v>2.4</v>
      </c>
      <c r="M514" s="66">
        <v>0.19586646661665416</v>
      </c>
      <c r="N514" s="64">
        <v>416.43</v>
      </c>
      <c r="O514" s="64" t="s">
        <v>22</v>
      </c>
    </row>
    <row r="515" spans="1:15" x14ac:dyDescent="0.3">
      <c r="A515" s="64">
        <v>514</v>
      </c>
      <c r="B515" s="64">
        <v>3696</v>
      </c>
      <c r="C515" s="64" t="s">
        <v>23</v>
      </c>
      <c r="D515" s="64" t="s">
        <v>25</v>
      </c>
      <c r="E515" s="64">
        <v>35984</v>
      </c>
      <c r="F515" s="64">
        <v>5</v>
      </c>
      <c r="G515" s="64">
        <v>179920</v>
      </c>
      <c r="H515" s="65">
        <v>45535</v>
      </c>
      <c r="I515" s="64" t="s">
        <v>30</v>
      </c>
      <c r="J515" s="64" t="s">
        <v>16</v>
      </c>
      <c r="K515" s="64" t="s">
        <v>24</v>
      </c>
      <c r="L515" s="64">
        <v>4.5999999999999996</v>
      </c>
      <c r="M515" s="66">
        <v>0.27925033348154737</v>
      </c>
      <c r="N515" s="64">
        <v>3733.28</v>
      </c>
      <c r="O515" s="64" t="s">
        <v>18</v>
      </c>
    </row>
    <row r="516" spans="1:15" x14ac:dyDescent="0.3">
      <c r="A516" s="64">
        <v>515</v>
      </c>
      <c r="B516" s="64">
        <v>2734</v>
      </c>
      <c r="C516" s="64" t="s">
        <v>13</v>
      </c>
      <c r="D516" s="64" t="s">
        <v>20</v>
      </c>
      <c r="E516" s="64">
        <v>16109</v>
      </c>
      <c r="F516" s="64">
        <v>1</v>
      </c>
      <c r="G516" s="64">
        <v>16109</v>
      </c>
      <c r="H516" s="65">
        <v>45367</v>
      </c>
      <c r="I516" s="64" t="s">
        <v>30</v>
      </c>
      <c r="J516" s="64" t="s">
        <v>21</v>
      </c>
      <c r="K516" s="64" t="s">
        <v>17</v>
      </c>
      <c r="L516" s="64">
        <v>2.4</v>
      </c>
      <c r="M516" s="66">
        <v>0.18157117139487242</v>
      </c>
      <c r="N516" s="64">
        <v>1907.77</v>
      </c>
      <c r="O516" s="64" t="s">
        <v>22</v>
      </c>
    </row>
    <row r="517" spans="1:15" x14ac:dyDescent="0.3">
      <c r="A517" s="64">
        <v>516</v>
      </c>
      <c r="B517" s="64">
        <v>9868</v>
      </c>
      <c r="C517" s="64" t="s">
        <v>23</v>
      </c>
      <c r="D517" s="64" t="s">
        <v>14</v>
      </c>
      <c r="E517" s="64">
        <v>49463</v>
      </c>
      <c r="F517" s="64">
        <v>3</v>
      </c>
      <c r="G517" s="64">
        <v>148389</v>
      </c>
      <c r="H517" s="65">
        <v>45370</v>
      </c>
      <c r="I517" s="64" t="s">
        <v>26</v>
      </c>
      <c r="J517" s="64" t="s">
        <v>31</v>
      </c>
      <c r="K517" s="64" t="s">
        <v>28</v>
      </c>
      <c r="L517" s="64">
        <v>1.3</v>
      </c>
      <c r="M517" s="66">
        <v>0.26638079642021983</v>
      </c>
      <c r="N517" s="64">
        <v>4988.72</v>
      </c>
      <c r="O517" s="64" t="s">
        <v>22</v>
      </c>
    </row>
    <row r="518" spans="1:15" x14ac:dyDescent="0.3">
      <c r="A518" s="64">
        <v>517</v>
      </c>
      <c r="B518" s="64">
        <v>6423</v>
      </c>
      <c r="C518" s="64" t="s">
        <v>19</v>
      </c>
      <c r="D518" s="64" t="s">
        <v>20</v>
      </c>
      <c r="E518" s="64">
        <v>17017</v>
      </c>
      <c r="F518" s="64">
        <v>2</v>
      </c>
      <c r="G518" s="64">
        <v>34034</v>
      </c>
      <c r="H518" s="65">
        <v>45343</v>
      </c>
      <c r="I518" s="64" t="s">
        <v>15</v>
      </c>
      <c r="J518" s="64" t="s">
        <v>16</v>
      </c>
      <c r="K518" s="64" t="s">
        <v>28</v>
      </c>
      <c r="L518" s="64">
        <v>4.3</v>
      </c>
      <c r="M518" s="66">
        <v>0.17530234471410941</v>
      </c>
      <c r="N518" s="64">
        <v>4243.96</v>
      </c>
      <c r="O518" s="64" t="s">
        <v>18</v>
      </c>
    </row>
    <row r="519" spans="1:15" x14ac:dyDescent="0.3">
      <c r="A519" s="64">
        <v>518</v>
      </c>
      <c r="B519" s="64">
        <v>6615</v>
      </c>
      <c r="C519" s="64" t="s">
        <v>19</v>
      </c>
      <c r="D519" s="64" t="s">
        <v>14</v>
      </c>
      <c r="E519" s="64">
        <v>5601</v>
      </c>
      <c r="F519" s="64">
        <v>5</v>
      </c>
      <c r="G519" s="64">
        <v>28005</v>
      </c>
      <c r="H519" s="65">
        <v>45548</v>
      </c>
      <c r="I519" s="64" t="s">
        <v>30</v>
      </c>
      <c r="J519" s="64" t="s">
        <v>31</v>
      </c>
      <c r="K519" s="64" t="s">
        <v>24</v>
      </c>
      <c r="L519" s="64">
        <v>1.8</v>
      </c>
      <c r="M519" s="66">
        <v>0.15888377075522228</v>
      </c>
      <c r="N519" s="64">
        <v>3951.96</v>
      </c>
      <c r="O519" s="64" t="s">
        <v>18</v>
      </c>
    </row>
    <row r="520" spans="1:15" x14ac:dyDescent="0.3">
      <c r="A520" s="64">
        <v>519</v>
      </c>
      <c r="B520" s="64">
        <v>2861</v>
      </c>
      <c r="C520" s="64" t="s">
        <v>34</v>
      </c>
      <c r="D520" s="64" t="s">
        <v>14</v>
      </c>
      <c r="E520" s="64">
        <v>19008</v>
      </c>
      <c r="F520" s="64">
        <v>3</v>
      </c>
      <c r="G520" s="64">
        <v>57024</v>
      </c>
      <c r="H520" s="65">
        <v>45559</v>
      </c>
      <c r="I520" s="64" t="s">
        <v>15</v>
      </c>
      <c r="J520" s="64" t="s">
        <v>21</v>
      </c>
      <c r="K520" s="64" t="s">
        <v>24</v>
      </c>
      <c r="L520" s="64">
        <v>2.9</v>
      </c>
      <c r="M520" s="66">
        <v>0.10497843013468014</v>
      </c>
      <c r="N520" s="64">
        <v>11120.91</v>
      </c>
      <c r="O520" s="64" t="s">
        <v>22</v>
      </c>
    </row>
    <row r="521" spans="1:15" x14ac:dyDescent="0.3">
      <c r="A521" s="64">
        <v>520</v>
      </c>
      <c r="B521" s="64">
        <v>7600</v>
      </c>
      <c r="C521" s="64" t="s">
        <v>13</v>
      </c>
      <c r="D521" s="64" t="s">
        <v>20</v>
      </c>
      <c r="E521" s="64">
        <v>41257</v>
      </c>
      <c r="F521" s="64">
        <v>5</v>
      </c>
      <c r="G521" s="64">
        <v>206285</v>
      </c>
      <c r="H521" s="65">
        <v>45434</v>
      </c>
      <c r="I521" s="64" t="s">
        <v>33</v>
      </c>
      <c r="J521" s="64" t="s">
        <v>31</v>
      </c>
      <c r="K521" s="64" t="s">
        <v>24</v>
      </c>
      <c r="L521" s="64">
        <v>2.1</v>
      </c>
      <c r="M521" s="66">
        <v>0.28979848268172675</v>
      </c>
      <c r="N521" s="64">
        <v>2104.42</v>
      </c>
      <c r="O521" s="64" t="s">
        <v>22</v>
      </c>
    </row>
    <row r="522" spans="1:15" x14ac:dyDescent="0.3">
      <c r="A522" s="64">
        <v>521</v>
      </c>
      <c r="B522" s="64">
        <v>7832</v>
      </c>
      <c r="C522" s="64" t="s">
        <v>32</v>
      </c>
      <c r="D522" s="64" t="s">
        <v>25</v>
      </c>
      <c r="E522" s="64">
        <v>46162</v>
      </c>
      <c r="F522" s="64">
        <v>2</v>
      </c>
      <c r="G522" s="64">
        <v>92324</v>
      </c>
      <c r="H522" s="65">
        <v>45613</v>
      </c>
      <c r="I522" s="64" t="s">
        <v>15</v>
      </c>
      <c r="J522" s="64" t="s">
        <v>27</v>
      </c>
      <c r="K522" s="64" t="s">
        <v>24</v>
      </c>
      <c r="L522" s="64">
        <v>1.6</v>
      </c>
      <c r="M522" s="66">
        <v>6.9726398336293918E-2</v>
      </c>
      <c r="N522" s="64">
        <v>21259.78</v>
      </c>
      <c r="O522" s="64" t="s">
        <v>22</v>
      </c>
    </row>
    <row r="523" spans="1:15" x14ac:dyDescent="0.3">
      <c r="A523" s="64">
        <v>522</v>
      </c>
      <c r="B523" s="64">
        <v>4562</v>
      </c>
      <c r="C523" s="64" t="s">
        <v>29</v>
      </c>
      <c r="D523" s="64" t="s">
        <v>14</v>
      </c>
      <c r="E523" s="64">
        <v>18916</v>
      </c>
      <c r="F523" s="64">
        <v>5</v>
      </c>
      <c r="G523" s="64">
        <v>94580</v>
      </c>
      <c r="H523" s="65">
        <v>45639</v>
      </c>
      <c r="I523" s="64" t="s">
        <v>33</v>
      </c>
      <c r="J523" s="64" t="s">
        <v>35</v>
      </c>
      <c r="K523" s="64" t="s">
        <v>24</v>
      </c>
      <c r="L523" s="64">
        <v>3.8</v>
      </c>
      <c r="M523" s="66">
        <v>0.27142450835271731</v>
      </c>
      <c r="N523" s="64">
        <v>2702.67</v>
      </c>
      <c r="O523" s="64" t="s">
        <v>18</v>
      </c>
    </row>
    <row r="524" spans="1:15" x14ac:dyDescent="0.3">
      <c r="A524" s="64">
        <v>523</v>
      </c>
      <c r="B524" s="64">
        <v>9950</v>
      </c>
      <c r="C524" s="64" t="s">
        <v>23</v>
      </c>
      <c r="D524" s="64" t="s">
        <v>14</v>
      </c>
      <c r="E524" s="64">
        <v>48752</v>
      </c>
      <c r="F524" s="64">
        <v>3</v>
      </c>
      <c r="G524" s="64">
        <v>146256</v>
      </c>
      <c r="H524" s="65">
        <v>45537</v>
      </c>
      <c r="I524" s="64" t="s">
        <v>15</v>
      </c>
      <c r="J524" s="64" t="s">
        <v>16</v>
      </c>
      <c r="K524" s="64" t="s">
        <v>28</v>
      </c>
      <c r="L524" s="64">
        <v>3.1</v>
      </c>
      <c r="M524" s="66">
        <v>0.15860409145607701</v>
      </c>
      <c r="N524" s="64">
        <v>20680</v>
      </c>
      <c r="O524" s="64" t="s">
        <v>18</v>
      </c>
    </row>
    <row r="525" spans="1:15" x14ac:dyDescent="0.3">
      <c r="A525" s="64">
        <v>524</v>
      </c>
      <c r="B525" s="64">
        <v>5058</v>
      </c>
      <c r="C525" s="64" t="s">
        <v>19</v>
      </c>
      <c r="D525" s="64" t="s">
        <v>14</v>
      </c>
      <c r="E525" s="64">
        <v>43739</v>
      </c>
      <c r="F525" s="64">
        <v>2</v>
      </c>
      <c r="G525" s="64">
        <v>87478</v>
      </c>
      <c r="H525" s="65">
        <v>45543</v>
      </c>
      <c r="I525" s="64" t="s">
        <v>26</v>
      </c>
      <c r="J525" s="64" t="s">
        <v>21</v>
      </c>
      <c r="K525" s="64" t="s">
        <v>28</v>
      </c>
      <c r="L525" s="64">
        <v>3.7</v>
      </c>
      <c r="M525" s="66">
        <v>0.29181176981641099</v>
      </c>
      <c r="N525" s="64">
        <v>716.29</v>
      </c>
      <c r="O525" s="64" t="s">
        <v>18</v>
      </c>
    </row>
    <row r="526" spans="1:15" x14ac:dyDescent="0.3">
      <c r="A526" s="64">
        <v>525</v>
      </c>
      <c r="B526" s="64">
        <v>5476</v>
      </c>
      <c r="C526" s="64" t="s">
        <v>32</v>
      </c>
      <c r="D526" s="64" t="s">
        <v>25</v>
      </c>
      <c r="E526" s="64">
        <v>42409</v>
      </c>
      <c r="F526" s="64">
        <v>4</v>
      </c>
      <c r="G526" s="64">
        <v>169636</v>
      </c>
      <c r="H526" s="65">
        <v>45349</v>
      </c>
      <c r="I526" s="64" t="s">
        <v>15</v>
      </c>
      <c r="J526" s="64" t="s">
        <v>31</v>
      </c>
      <c r="K526" s="64" t="s">
        <v>28</v>
      </c>
      <c r="L526" s="64">
        <v>4.2</v>
      </c>
      <c r="M526" s="66">
        <v>0.25483163951048127</v>
      </c>
      <c r="N526" s="64">
        <v>7662.18</v>
      </c>
      <c r="O526" s="64" t="s">
        <v>18</v>
      </c>
    </row>
    <row r="527" spans="1:15" x14ac:dyDescent="0.3">
      <c r="A527" s="64">
        <v>526</v>
      </c>
      <c r="B527" s="64">
        <v>7749</v>
      </c>
      <c r="C527" s="64" t="s">
        <v>13</v>
      </c>
      <c r="D527" s="64" t="s">
        <v>14</v>
      </c>
      <c r="E527" s="64">
        <v>30437</v>
      </c>
      <c r="F527" s="64">
        <v>5</v>
      </c>
      <c r="G527" s="64">
        <v>152185</v>
      </c>
      <c r="H527" s="65">
        <v>45324</v>
      </c>
      <c r="I527" s="64" t="s">
        <v>30</v>
      </c>
      <c r="J527" s="64" t="s">
        <v>35</v>
      </c>
      <c r="K527" s="64" t="s">
        <v>28</v>
      </c>
      <c r="L527" s="64">
        <v>1.9</v>
      </c>
      <c r="M527" s="66">
        <v>0.22518875053388968</v>
      </c>
      <c r="N527" s="64">
        <v>11385.15</v>
      </c>
      <c r="O527" s="64" t="s">
        <v>18</v>
      </c>
    </row>
    <row r="528" spans="1:15" x14ac:dyDescent="0.3">
      <c r="A528" s="64">
        <v>527</v>
      </c>
      <c r="B528" s="64">
        <v>9458</v>
      </c>
      <c r="C528" s="64" t="s">
        <v>34</v>
      </c>
      <c r="D528" s="64" t="s">
        <v>14</v>
      </c>
      <c r="E528" s="64">
        <v>37850</v>
      </c>
      <c r="F528" s="64">
        <v>2</v>
      </c>
      <c r="G528" s="64">
        <v>75700</v>
      </c>
      <c r="H528" s="65">
        <v>45562</v>
      </c>
      <c r="I528" s="64" t="s">
        <v>26</v>
      </c>
      <c r="J528" s="64" t="s">
        <v>31</v>
      </c>
      <c r="K528" s="64" t="s">
        <v>28</v>
      </c>
      <c r="L528" s="64">
        <v>3.5</v>
      </c>
      <c r="M528" s="66">
        <v>0.11448546895640686</v>
      </c>
      <c r="N528" s="64">
        <v>14043.45</v>
      </c>
      <c r="O528" s="64" t="s">
        <v>18</v>
      </c>
    </row>
    <row r="529" spans="1:15" x14ac:dyDescent="0.3">
      <c r="A529" s="64">
        <v>528</v>
      </c>
      <c r="B529" s="64">
        <v>9611</v>
      </c>
      <c r="C529" s="64" t="s">
        <v>34</v>
      </c>
      <c r="D529" s="64" t="s">
        <v>20</v>
      </c>
      <c r="E529" s="64">
        <v>26164</v>
      </c>
      <c r="F529" s="64">
        <v>3</v>
      </c>
      <c r="G529" s="64">
        <v>78492</v>
      </c>
      <c r="H529" s="65">
        <v>45645</v>
      </c>
      <c r="I529" s="64" t="s">
        <v>33</v>
      </c>
      <c r="J529" s="64" t="s">
        <v>35</v>
      </c>
      <c r="K529" s="64" t="s">
        <v>17</v>
      </c>
      <c r="L529" s="64">
        <v>4.8</v>
      </c>
      <c r="M529" s="66">
        <v>0.10695612291698518</v>
      </c>
      <c r="N529" s="64">
        <v>15152.4</v>
      </c>
      <c r="O529" s="64" t="s">
        <v>22</v>
      </c>
    </row>
    <row r="530" spans="1:15" x14ac:dyDescent="0.3">
      <c r="A530" s="64">
        <v>529</v>
      </c>
      <c r="B530" s="64">
        <v>9792</v>
      </c>
      <c r="C530" s="64" t="s">
        <v>34</v>
      </c>
      <c r="D530" s="64" t="s">
        <v>14</v>
      </c>
      <c r="E530" s="64">
        <v>24477</v>
      </c>
      <c r="F530" s="64">
        <v>1</v>
      </c>
      <c r="G530" s="64">
        <v>24477</v>
      </c>
      <c r="H530" s="65">
        <v>45346</v>
      </c>
      <c r="I530" s="64" t="s">
        <v>30</v>
      </c>
      <c r="J530" s="64" t="s">
        <v>35</v>
      </c>
      <c r="K530" s="64" t="s">
        <v>17</v>
      </c>
      <c r="L530" s="64">
        <v>2.1</v>
      </c>
      <c r="M530" s="66">
        <v>7.0223883645871635E-2</v>
      </c>
      <c r="N530" s="64">
        <v>5624.23</v>
      </c>
      <c r="O530" s="64" t="s">
        <v>18</v>
      </c>
    </row>
    <row r="531" spans="1:15" x14ac:dyDescent="0.3">
      <c r="A531" s="64">
        <v>530</v>
      </c>
      <c r="B531" s="64">
        <v>9274</v>
      </c>
      <c r="C531" s="64" t="s">
        <v>13</v>
      </c>
      <c r="D531" s="64" t="s">
        <v>20</v>
      </c>
      <c r="E531" s="64">
        <v>32218</v>
      </c>
      <c r="F531" s="64">
        <v>3</v>
      </c>
      <c r="G531" s="64">
        <v>96654</v>
      </c>
      <c r="H531" s="65">
        <v>45561</v>
      </c>
      <c r="I531" s="64" t="s">
        <v>30</v>
      </c>
      <c r="J531" s="64" t="s">
        <v>35</v>
      </c>
      <c r="K531" s="64" t="s">
        <v>28</v>
      </c>
      <c r="L531" s="64">
        <v>1.6</v>
      </c>
      <c r="M531" s="66">
        <v>0.11127930556417738</v>
      </c>
      <c r="N531" s="64">
        <v>18240.61</v>
      </c>
      <c r="O531" s="64" t="s">
        <v>22</v>
      </c>
    </row>
    <row r="532" spans="1:15" x14ac:dyDescent="0.3">
      <c r="A532" s="64">
        <v>531</v>
      </c>
      <c r="B532" s="64">
        <v>4419</v>
      </c>
      <c r="C532" s="64" t="s">
        <v>29</v>
      </c>
      <c r="D532" s="64" t="s">
        <v>14</v>
      </c>
      <c r="E532" s="64">
        <v>43342</v>
      </c>
      <c r="F532" s="64">
        <v>5</v>
      </c>
      <c r="G532" s="64">
        <v>216710</v>
      </c>
      <c r="H532" s="65">
        <v>45625</v>
      </c>
      <c r="I532" s="64" t="s">
        <v>30</v>
      </c>
      <c r="J532" s="64" t="s">
        <v>21</v>
      </c>
      <c r="K532" s="64" t="s">
        <v>24</v>
      </c>
      <c r="L532" s="64">
        <v>3.8</v>
      </c>
      <c r="M532" s="66">
        <v>0.1969704213003553</v>
      </c>
      <c r="N532" s="64">
        <v>22327.54</v>
      </c>
      <c r="O532" s="64" t="s">
        <v>22</v>
      </c>
    </row>
    <row r="533" spans="1:15" x14ac:dyDescent="0.3">
      <c r="A533" s="64">
        <v>532</v>
      </c>
      <c r="B533" s="64">
        <v>2613</v>
      </c>
      <c r="C533" s="64" t="s">
        <v>13</v>
      </c>
      <c r="D533" s="64" t="s">
        <v>20</v>
      </c>
      <c r="E533" s="64">
        <v>29827</v>
      </c>
      <c r="F533" s="64">
        <v>5</v>
      </c>
      <c r="G533" s="64">
        <v>149135</v>
      </c>
      <c r="H533" s="65">
        <v>45512</v>
      </c>
      <c r="I533" s="64" t="s">
        <v>30</v>
      </c>
      <c r="J533" s="64" t="s">
        <v>31</v>
      </c>
      <c r="K533" s="64" t="s">
        <v>28</v>
      </c>
      <c r="L533" s="64">
        <v>4.5999999999999996</v>
      </c>
      <c r="M533" s="66">
        <v>0.16414007442920842</v>
      </c>
      <c r="N533" s="64">
        <v>20261.47</v>
      </c>
      <c r="O533" s="64" t="s">
        <v>22</v>
      </c>
    </row>
    <row r="534" spans="1:15" x14ac:dyDescent="0.3">
      <c r="A534" s="64">
        <v>533</v>
      </c>
      <c r="B534" s="64">
        <v>4811</v>
      </c>
      <c r="C534" s="64" t="s">
        <v>23</v>
      </c>
      <c r="D534" s="64" t="s">
        <v>14</v>
      </c>
      <c r="E534" s="64">
        <v>11517</v>
      </c>
      <c r="F534" s="64">
        <v>2</v>
      </c>
      <c r="G534" s="64">
        <v>23034</v>
      </c>
      <c r="H534" s="65">
        <v>45532</v>
      </c>
      <c r="I534" s="64" t="s">
        <v>30</v>
      </c>
      <c r="J534" s="64" t="s">
        <v>31</v>
      </c>
      <c r="K534" s="64" t="s">
        <v>17</v>
      </c>
      <c r="L534" s="64">
        <v>2.2999999999999998</v>
      </c>
      <c r="M534" s="66">
        <v>0.22595684640097247</v>
      </c>
      <c r="N534" s="64">
        <v>1705.51</v>
      </c>
      <c r="O534" s="64" t="s">
        <v>22</v>
      </c>
    </row>
    <row r="535" spans="1:15" x14ac:dyDescent="0.3">
      <c r="A535" s="64">
        <v>534</v>
      </c>
      <c r="B535" s="64">
        <v>5144</v>
      </c>
      <c r="C535" s="64" t="s">
        <v>13</v>
      </c>
      <c r="D535" s="64" t="s">
        <v>20</v>
      </c>
      <c r="E535" s="64">
        <v>26369</v>
      </c>
      <c r="F535" s="64">
        <v>4</v>
      </c>
      <c r="G535" s="64">
        <v>105476</v>
      </c>
      <c r="H535" s="65">
        <v>45499</v>
      </c>
      <c r="I535" s="64" t="s">
        <v>30</v>
      </c>
      <c r="J535" s="64" t="s">
        <v>27</v>
      </c>
      <c r="K535" s="64" t="s">
        <v>28</v>
      </c>
      <c r="L535" s="64">
        <v>4.3</v>
      </c>
      <c r="M535" s="66">
        <v>0.20252616709014373</v>
      </c>
      <c r="N535" s="64">
        <v>10281.15</v>
      </c>
      <c r="O535" s="64" t="s">
        <v>22</v>
      </c>
    </row>
    <row r="536" spans="1:15" x14ac:dyDescent="0.3">
      <c r="A536" s="64">
        <v>535</v>
      </c>
      <c r="B536" s="64">
        <v>8090</v>
      </c>
      <c r="C536" s="64" t="s">
        <v>19</v>
      </c>
      <c r="D536" s="64" t="s">
        <v>14</v>
      </c>
      <c r="E536" s="64">
        <v>1321</v>
      </c>
      <c r="F536" s="64">
        <v>1</v>
      </c>
      <c r="G536" s="64">
        <v>1321</v>
      </c>
      <c r="H536" s="65">
        <v>45378</v>
      </c>
      <c r="I536" s="64" t="s">
        <v>30</v>
      </c>
      <c r="J536" s="64" t="s">
        <v>16</v>
      </c>
      <c r="K536" s="64" t="s">
        <v>17</v>
      </c>
      <c r="L536" s="64">
        <v>1.3</v>
      </c>
      <c r="M536" s="66">
        <v>7.8599545798637399E-2</v>
      </c>
      <c r="N536" s="64">
        <v>292.47000000000003</v>
      </c>
      <c r="O536" s="64" t="s">
        <v>18</v>
      </c>
    </row>
    <row r="537" spans="1:15" x14ac:dyDescent="0.3">
      <c r="A537" s="64">
        <v>536</v>
      </c>
      <c r="B537" s="64">
        <v>8335</v>
      </c>
      <c r="C537" s="64" t="s">
        <v>19</v>
      </c>
      <c r="D537" s="64" t="s">
        <v>20</v>
      </c>
      <c r="E537" s="64">
        <v>29980</v>
      </c>
      <c r="F537" s="64">
        <v>2</v>
      </c>
      <c r="G537" s="64">
        <v>59960</v>
      </c>
      <c r="H537" s="65">
        <v>45537</v>
      </c>
      <c r="I537" s="64" t="s">
        <v>30</v>
      </c>
      <c r="J537" s="64" t="s">
        <v>21</v>
      </c>
      <c r="K537" s="64" t="s">
        <v>17</v>
      </c>
      <c r="L537" s="64">
        <v>3</v>
      </c>
      <c r="M537" s="66">
        <v>0.27946330887258169</v>
      </c>
      <c r="N537" s="64">
        <v>1231.3800000000001</v>
      </c>
      <c r="O537" s="64" t="s">
        <v>18</v>
      </c>
    </row>
    <row r="538" spans="1:15" x14ac:dyDescent="0.3">
      <c r="A538" s="64">
        <v>537</v>
      </c>
      <c r="B538" s="64">
        <v>1895</v>
      </c>
      <c r="C538" s="64" t="s">
        <v>34</v>
      </c>
      <c r="D538" s="64" t="s">
        <v>25</v>
      </c>
      <c r="E538" s="64">
        <v>45912</v>
      </c>
      <c r="F538" s="64">
        <v>3</v>
      </c>
      <c r="G538" s="64">
        <v>137736</v>
      </c>
      <c r="H538" s="65">
        <v>45356</v>
      </c>
      <c r="I538" s="64" t="s">
        <v>15</v>
      </c>
      <c r="J538" s="64" t="s">
        <v>27</v>
      </c>
      <c r="K538" s="64" t="s">
        <v>24</v>
      </c>
      <c r="L538" s="64">
        <v>3.3</v>
      </c>
      <c r="M538" s="66">
        <v>0.15284827496079456</v>
      </c>
      <c r="N538" s="64">
        <v>20268.09</v>
      </c>
      <c r="O538" s="64" t="s">
        <v>18</v>
      </c>
    </row>
    <row r="539" spans="1:15" x14ac:dyDescent="0.3">
      <c r="A539" s="64">
        <v>538</v>
      </c>
      <c r="B539" s="64">
        <v>3527</v>
      </c>
      <c r="C539" s="64" t="s">
        <v>13</v>
      </c>
      <c r="D539" s="64" t="s">
        <v>14</v>
      </c>
      <c r="E539" s="64">
        <v>36616</v>
      </c>
      <c r="F539" s="64">
        <v>5</v>
      </c>
      <c r="G539" s="64">
        <v>183080</v>
      </c>
      <c r="H539" s="65">
        <v>45629</v>
      </c>
      <c r="I539" s="64" t="s">
        <v>30</v>
      </c>
      <c r="J539" s="64" t="s">
        <v>21</v>
      </c>
      <c r="K539" s="64" t="s">
        <v>17</v>
      </c>
      <c r="L539" s="64">
        <v>2.1</v>
      </c>
      <c r="M539" s="66">
        <v>0.10553834389337993</v>
      </c>
      <c r="N539" s="64">
        <v>35602.04</v>
      </c>
      <c r="O539" s="64" t="s">
        <v>18</v>
      </c>
    </row>
    <row r="540" spans="1:15" x14ac:dyDescent="0.3">
      <c r="A540" s="64">
        <v>539</v>
      </c>
      <c r="B540" s="64">
        <v>3051</v>
      </c>
      <c r="C540" s="64" t="s">
        <v>32</v>
      </c>
      <c r="D540" s="64" t="s">
        <v>20</v>
      </c>
      <c r="E540" s="64">
        <v>16292</v>
      </c>
      <c r="F540" s="64">
        <v>4</v>
      </c>
      <c r="G540" s="64">
        <v>65168</v>
      </c>
      <c r="H540" s="65">
        <v>45477</v>
      </c>
      <c r="I540" s="64" t="s">
        <v>33</v>
      </c>
      <c r="J540" s="64" t="s">
        <v>27</v>
      </c>
      <c r="K540" s="64" t="s">
        <v>24</v>
      </c>
      <c r="L540" s="64">
        <v>3.2</v>
      </c>
      <c r="M540" s="66">
        <v>0.1752637797692119</v>
      </c>
      <c r="N540" s="64">
        <v>8128.81</v>
      </c>
      <c r="O540" s="64" t="s">
        <v>22</v>
      </c>
    </row>
    <row r="541" spans="1:15" x14ac:dyDescent="0.3">
      <c r="A541" s="64">
        <v>540</v>
      </c>
      <c r="B541" s="64">
        <v>3473</v>
      </c>
      <c r="C541" s="64" t="s">
        <v>34</v>
      </c>
      <c r="D541" s="64" t="s">
        <v>14</v>
      </c>
      <c r="E541" s="64">
        <v>25393</v>
      </c>
      <c r="F541" s="64">
        <v>2</v>
      </c>
      <c r="G541" s="64">
        <v>50786</v>
      </c>
      <c r="H541" s="65">
        <v>45623</v>
      </c>
      <c r="I541" s="64" t="s">
        <v>30</v>
      </c>
      <c r="J541" s="64" t="s">
        <v>21</v>
      </c>
      <c r="K541" s="64" t="s">
        <v>17</v>
      </c>
      <c r="L541" s="64">
        <v>3.8</v>
      </c>
      <c r="M541" s="66">
        <v>0.28387331154255113</v>
      </c>
      <c r="N541" s="64">
        <v>819.01</v>
      </c>
      <c r="O541" s="64" t="s">
        <v>18</v>
      </c>
    </row>
    <row r="542" spans="1:15" x14ac:dyDescent="0.3">
      <c r="A542" s="64">
        <v>541</v>
      </c>
      <c r="B542" s="64">
        <v>3956</v>
      </c>
      <c r="C542" s="64" t="s">
        <v>23</v>
      </c>
      <c r="D542" s="64" t="s">
        <v>14</v>
      </c>
      <c r="E542" s="64">
        <v>31496</v>
      </c>
      <c r="F542" s="64">
        <v>4</v>
      </c>
      <c r="G542" s="64">
        <v>125984</v>
      </c>
      <c r="H542" s="65">
        <v>45578</v>
      </c>
      <c r="I542" s="64" t="s">
        <v>30</v>
      </c>
      <c r="J542" s="64" t="s">
        <v>27</v>
      </c>
      <c r="K542" s="64" t="s">
        <v>17</v>
      </c>
      <c r="L542" s="64">
        <v>1</v>
      </c>
      <c r="M542" s="66">
        <v>0.23620221615443232</v>
      </c>
      <c r="N542" s="64">
        <v>8037.5</v>
      </c>
      <c r="O542" s="64" t="s">
        <v>18</v>
      </c>
    </row>
    <row r="543" spans="1:15" x14ac:dyDescent="0.3">
      <c r="A543" s="64">
        <v>542</v>
      </c>
      <c r="B543" s="64">
        <v>5011</v>
      </c>
      <c r="C543" s="64" t="s">
        <v>23</v>
      </c>
      <c r="D543" s="64" t="s">
        <v>25</v>
      </c>
      <c r="E543" s="64">
        <v>6722</v>
      </c>
      <c r="F543" s="64">
        <v>1</v>
      </c>
      <c r="G543" s="64">
        <v>6722</v>
      </c>
      <c r="H543" s="65">
        <v>45617</v>
      </c>
      <c r="I543" s="64" t="s">
        <v>15</v>
      </c>
      <c r="J543" s="64" t="s">
        <v>27</v>
      </c>
      <c r="K543" s="64" t="s">
        <v>28</v>
      </c>
      <c r="L543" s="64">
        <v>4.8</v>
      </c>
      <c r="M543" s="66">
        <v>0.19740107110978877</v>
      </c>
      <c r="N543" s="64">
        <v>689.67</v>
      </c>
      <c r="O543" s="64" t="s">
        <v>22</v>
      </c>
    </row>
    <row r="544" spans="1:15" x14ac:dyDescent="0.3">
      <c r="A544" s="64">
        <v>543</v>
      </c>
      <c r="B544" s="64">
        <v>2957</v>
      </c>
      <c r="C544" s="64" t="s">
        <v>29</v>
      </c>
      <c r="D544" s="64" t="s">
        <v>14</v>
      </c>
      <c r="E544" s="64">
        <v>35484</v>
      </c>
      <c r="F544" s="64">
        <v>5</v>
      </c>
      <c r="G544" s="64">
        <v>177420</v>
      </c>
      <c r="H544" s="65">
        <v>45403</v>
      </c>
      <c r="I544" s="64" t="s">
        <v>33</v>
      </c>
      <c r="J544" s="64" t="s">
        <v>27</v>
      </c>
      <c r="K544" s="64" t="s">
        <v>28</v>
      </c>
      <c r="L544" s="64">
        <v>4.9000000000000004</v>
      </c>
      <c r="M544" s="66">
        <v>8.938879494983655E-2</v>
      </c>
      <c r="N544" s="64">
        <v>37366.639999999999</v>
      </c>
      <c r="O544" s="64" t="s">
        <v>18</v>
      </c>
    </row>
    <row r="545" spans="1:15" x14ac:dyDescent="0.3">
      <c r="A545" s="64">
        <v>544</v>
      </c>
      <c r="B545" s="64">
        <v>3809</v>
      </c>
      <c r="C545" s="64" t="s">
        <v>32</v>
      </c>
      <c r="D545" s="64" t="s">
        <v>25</v>
      </c>
      <c r="E545" s="64">
        <v>35808</v>
      </c>
      <c r="F545" s="64">
        <v>4</v>
      </c>
      <c r="G545" s="64">
        <v>143232</v>
      </c>
      <c r="H545" s="65">
        <v>45441</v>
      </c>
      <c r="I545" s="64" t="s">
        <v>26</v>
      </c>
      <c r="J545" s="64" t="s">
        <v>35</v>
      </c>
      <c r="K545" s="64" t="s">
        <v>28</v>
      </c>
      <c r="L545" s="64">
        <v>4.5999999999999996</v>
      </c>
      <c r="M545" s="66">
        <v>0.12714204926273459</v>
      </c>
      <c r="N545" s="64">
        <v>24758.79</v>
      </c>
      <c r="O545" s="64" t="s">
        <v>18</v>
      </c>
    </row>
    <row r="546" spans="1:15" x14ac:dyDescent="0.3">
      <c r="A546" s="64">
        <v>545</v>
      </c>
      <c r="B546" s="64">
        <v>4449</v>
      </c>
      <c r="C546" s="64" t="s">
        <v>19</v>
      </c>
      <c r="D546" s="64" t="s">
        <v>14</v>
      </c>
      <c r="E546" s="64">
        <v>14572</v>
      </c>
      <c r="F546" s="64">
        <v>5</v>
      </c>
      <c r="G546" s="64">
        <v>72860</v>
      </c>
      <c r="H546" s="65">
        <v>45422</v>
      </c>
      <c r="I546" s="64" t="s">
        <v>26</v>
      </c>
      <c r="J546" s="64" t="s">
        <v>16</v>
      </c>
      <c r="K546" s="64" t="s">
        <v>28</v>
      </c>
      <c r="L546" s="64">
        <v>3.1</v>
      </c>
      <c r="M546" s="66">
        <v>0.18373222618720833</v>
      </c>
      <c r="N546" s="64">
        <v>8471.27</v>
      </c>
      <c r="O546" s="64" t="s">
        <v>22</v>
      </c>
    </row>
    <row r="547" spans="1:15" x14ac:dyDescent="0.3">
      <c r="A547" s="64">
        <v>546</v>
      </c>
      <c r="B547" s="64">
        <v>1500</v>
      </c>
      <c r="C547" s="64" t="s">
        <v>29</v>
      </c>
      <c r="D547" s="64" t="s">
        <v>25</v>
      </c>
      <c r="E547" s="64">
        <v>35113</v>
      </c>
      <c r="F547" s="64">
        <v>5</v>
      </c>
      <c r="G547" s="64">
        <v>175565</v>
      </c>
      <c r="H547" s="65">
        <v>45318</v>
      </c>
      <c r="I547" s="64" t="s">
        <v>33</v>
      </c>
      <c r="J547" s="64" t="s">
        <v>31</v>
      </c>
      <c r="K547" s="64" t="s">
        <v>28</v>
      </c>
      <c r="L547" s="64">
        <v>4.5</v>
      </c>
      <c r="M547" s="66">
        <v>0.26929359496482785</v>
      </c>
      <c r="N547" s="64">
        <v>5390.97</v>
      </c>
      <c r="O547" s="64" t="s">
        <v>22</v>
      </c>
    </row>
    <row r="548" spans="1:15" x14ac:dyDescent="0.3">
      <c r="A548" s="64">
        <v>547</v>
      </c>
      <c r="B548" s="64">
        <v>9486</v>
      </c>
      <c r="C548" s="64" t="s">
        <v>13</v>
      </c>
      <c r="D548" s="64" t="s">
        <v>20</v>
      </c>
      <c r="E548" s="64">
        <v>5893</v>
      </c>
      <c r="F548" s="64">
        <v>3</v>
      </c>
      <c r="G548" s="64">
        <v>17679</v>
      </c>
      <c r="H548" s="65">
        <v>45594</v>
      </c>
      <c r="I548" s="64" t="s">
        <v>26</v>
      </c>
      <c r="J548" s="64" t="s">
        <v>35</v>
      </c>
      <c r="K548" s="64" t="s">
        <v>28</v>
      </c>
      <c r="L548" s="64">
        <v>1.1000000000000001</v>
      </c>
      <c r="M548" s="66">
        <v>0.22654561909610271</v>
      </c>
      <c r="N548" s="64">
        <v>1298.5999999999999</v>
      </c>
      <c r="O548" s="64" t="s">
        <v>22</v>
      </c>
    </row>
    <row r="549" spans="1:15" x14ac:dyDescent="0.3">
      <c r="A549" s="64">
        <v>548</v>
      </c>
      <c r="B549" s="64">
        <v>2698</v>
      </c>
      <c r="C549" s="64" t="s">
        <v>23</v>
      </c>
      <c r="D549" s="64" t="s">
        <v>14</v>
      </c>
      <c r="E549" s="64">
        <v>40717</v>
      </c>
      <c r="F549" s="64">
        <v>2</v>
      </c>
      <c r="G549" s="64">
        <v>81434</v>
      </c>
      <c r="H549" s="65">
        <v>45609</v>
      </c>
      <c r="I549" s="64" t="s">
        <v>30</v>
      </c>
      <c r="J549" s="64" t="s">
        <v>27</v>
      </c>
      <c r="K549" s="64" t="s">
        <v>17</v>
      </c>
      <c r="L549" s="64">
        <v>3.7</v>
      </c>
      <c r="M549" s="66">
        <v>0.16555161234865046</v>
      </c>
      <c r="N549" s="64">
        <v>10948.67</v>
      </c>
      <c r="O549" s="64" t="s">
        <v>18</v>
      </c>
    </row>
    <row r="550" spans="1:15" x14ac:dyDescent="0.3">
      <c r="A550" s="64">
        <v>549</v>
      </c>
      <c r="B550" s="64">
        <v>5188</v>
      </c>
      <c r="C550" s="64" t="s">
        <v>19</v>
      </c>
      <c r="D550" s="64" t="s">
        <v>25</v>
      </c>
      <c r="E550" s="64">
        <v>17672</v>
      </c>
      <c r="F550" s="64">
        <v>4</v>
      </c>
      <c r="G550" s="64">
        <v>70688</v>
      </c>
      <c r="H550" s="65">
        <v>45492</v>
      </c>
      <c r="I550" s="64" t="s">
        <v>15</v>
      </c>
      <c r="J550" s="64" t="s">
        <v>27</v>
      </c>
      <c r="K550" s="64" t="s">
        <v>17</v>
      </c>
      <c r="L550" s="64">
        <v>4.4000000000000004</v>
      </c>
      <c r="M550" s="66">
        <v>0.15302413422363059</v>
      </c>
      <c r="N550" s="64">
        <v>10389.43</v>
      </c>
      <c r="O550" s="64" t="s">
        <v>22</v>
      </c>
    </row>
    <row r="551" spans="1:15" x14ac:dyDescent="0.3">
      <c r="A551" s="64">
        <v>550</v>
      </c>
      <c r="B551" s="64">
        <v>6278</v>
      </c>
      <c r="C551" s="64" t="s">
        <v>13</v>
      </c>
      <c r="D551" s="64" t="s">
        <v>14</v>
      </c>
      <c r="E551" s="64">
        <v>29365</v>
      </c>
      <c r="F551" s="64">
        <v>4</v>
      </c>
      <c r="G551" s="64">
        <v>117460</v>
      </c>
      <c r="H551" s="65">
        <v>45313</v>
      </c>
      <c r="I551" s="64" t="s">
        <v>33</v>
      </c>
      <c r="J551" s="64" t="s">
        <v>35</v>
      </c>
      <c r="K551" s="64" t="s">
        <v>28</v>
      </c>
      <c r="L551" s="64">
        <v>2.6</v>
      </c>
      <c r="M551" s="66">
        <v>6.3735058743402004E-2</v>
      </c>
      <c r="N551" s="64">
        <v>27751.68</v>
      </c>
      <c r="O551" s="64" t="s">
        <v>22</v>
      </c>
    </row>
    <row r="552" spans="1:15" x14ac:dyDescent="0.3">
      <c r="A552" s="64">
        <v>551</v>
      </c>
      <c r="B552" s="64">
        <v>3760</v>
      </c>
      <c r="C552" s="64" t="s">
        <v>29</v>
      </c>
      <c r="D552" s="64" t="s">
        <v>14</v>
      </c>
      <c r="E552" s="64">
        <v>43822</v>
      </c>
      <c r="F552" s="64">
        <v>1</v>
      </c>
      <c r="G552" s="64">
        <v>43822</v>
      </c>
      <c r="H552" s="65">
        <v>45554</v>
      </c>
      <c r="I552" s="64" t="s">
        <v>26</v>
      </c>
      <c r="J552" s="64" t="s">
        <v>31</v>
      </c>
      <c r="K552" s="64" t="s">
        <v>24</v>
      </c>
      <c r="L552" s="64">
        <v>1.1000000000000001</v>
      </c>
      <c r="M552" s="66">
        <v>9.1115193281913198E-2</v>
      </c>
      <c r="N552" s="64">
        <v>9153.75</v>
      </c>
      <c r="O552" s="64" t="s">
        <v>18</v>
      </c>
    </row>
    <row r="553" spans="1:15" x14ac:dyDescent="0.3">
      <c r="A553" s="64">
        <v>552</v>
      </c>
      <c r="B553" s="64">
        <v>6145</v>
      </c>
      <c r="C553" s="64" t="s">
        <v>34</v>
      </c>
      <c r="D553" s="64" t="s">
        <v>14</v>
      </c>
      <c r="E553" s="64">
        <v>11128</v>
      </c>
      <c r="F553" s="64">
        <v>4</v>
      </c>
      <c r="G553" s="64">
        <v>44512</v>
      </c>
      <c r="H553" s="65">
        <v>45526</v>
      </c>
      <c r="I553" s="64" t="s">
        <v>15</v>
      </c>
      <c r="J553" s="64" t="s">
        <v>31</v>
      </c>
      <c r="K553" s="64" t="s">
        <v>17</v>
      </c>
      <c r="L553" s="64">
        <v>3.4</v>
      </c>
      <c r="M553" s="66">
        <v>5.4512266355140185E-2</v>
      </c>
      <c r="N553" s="64">
        <v>10927.15</v>
      </c>
      <c r="O553" s="64" t="s">
        <v>18</v>
      </c>
    </row>
    <row r="554" spans="1:15" x14ac:dyDescent="0.3">
      <c r="A554" s="64">
        <v>553</v>
      </c>
      <c r="B554" s="64">
        <v>5174</v>
      </c>
      <c r="C554" s="64" t="s">
        <v>19</v>
      </c>
      <c r="D554" s="64" t="s">
        <v>14</v>
      </c>
      <c r="E554" s="64">
        <v>43892</v>
      </c>
      <c r="F554" s="64">
        <v>3</v>
      </c>
      <c r="G554" s="64">
        <v>131676</v>
      </c>
      <c r="H554" s="65">
        <v>45486</v>
      </c>
      <c r="I554" s="64" t="s">
        <v>15</v>
      </c>
      <c r="J554" s="64" t="s">
        <v>35</v>
      </c>
      <c r="K554" s="64" t="s">
        <v>28</v>
      </c>
      <c r="L554" s="64">
        <v>1.8</v>
      </c>
      <c r="M554" s="66">
        <v>7.7925514140769772E-2</v>
      </c>
      <c r="N554" s="64">
        <v>29241.88</v>
      </c>
      <c r="O554" s="64" t="s">
        <v>22</v>
      </c>
    </row>
    <row r="555" spans="1:15" x14ac:dyDescent="0.3">
      <c r="A555" s="64">
        <v>554</v>
      </c>
      <c r="B555" s="64">
        <v>5076</v>
      </c>
      <c r="C555" s="64" t="s">
        <v>19</v>
      </c>
      <c r="D555" s="64" t="s">
        <v>14</v>
      </c>
      <c r="E555" s="64">
        <v>48808</v>
      </c>
      <c r="F555" s="64">
        <v>2</v>
      </c>
      <c r="G555" s="64">
        <v>97616</v>
      </c>
      <c r="H555" s="65">
        <v>45489</v>
      </c>
      <c r="I555" s="64" t="s">
        <v>15</v>
      </c>
      <c r="J555" s="64" t="s">
        <v>35</v>
      </c>
      <c r="K555" s="64" t="s">
        <v>28</v>
      </c>
      <c r="L555" s="64">
        <v>2.2000000000000002</v>
      </c>
      <c r="M555" s="66">
        <v>0.16777946238321587</v>
      </c>
      <c r="N555" s="64">
        <v>12906.84</v>
      </c>
      <c r="O555" s="64" t="s">
        <v>22</v>
      </c>
    </row>
    <row r="556" spans="1:15" x14ac:dyDescent="0.3">
      <c r="A556" s="64">
        <v>555</v>
      </c>
      <c r="B556" s="64">
        <v>6653</v>
      </c>
      <c r="C556" s="64" t="s">
        <v>34</v>
      </c>
      <c r="D556" s="64" t="s">
        <v>25</v>
      </c>
      <c r="E556" s="64">
        <v>13542</v>
      </c>
      <c r="F556" s="64">
        <v>2</v>
      </c>
      <c r="G556" s="64">
        <v>27084</v>
      </c>
      <c r="H556" s="65">
        <v>45309</v>
      </c>
      <c r="I556" s="64" t="s">
        <v>30</v>
      </c>
      <c r="J556" s="64" t="s">
        <v>27</v>
      </c>
      <c r="K556" s="64" t="s">
        <v>24</v>
      </c>
      <c r="L556" s="64">
        <v>3.6</v>
      </c>
      <c r="M556" s="66">
        <v>0.26415263624280017</v>
      </c>
      <c r="N556" s="64">
        <v>970.89</v>
      </c>
      <c r="O556" s="64" t="s">
        <v>22</v>
      </c>
    </row>
    <row r="557" spans="1:15" x14ac:dyDescent="0.3">
      <c r="A557" s="64">
        <v>556</v>
      </c>
      <c r="B557" s="64">
        <v>8401</v>
      </c>
      <c r="C557" s="64" t="s">
        <v>34</v>
      </c>
      <c r="D557" s="64" t="s">
        <v>25</v>
      </c>
      <c r="E557" s="64">
        <v>39842</v>
      </c>
      <c r="F557" s="64">
        <v>4</v>
      </c>
      <c r="G557" s="64">
        <v>159368</v>
      </c>
      <c r="H557" s="65">
        <v>45551</v>
      </c>
      <c r="I557" s="64" t="s">
        <v>26</v>
      </c>
      <c r="J557" s="64" t="s">
        <v>27</v>
      </c>
      <c r="K557" s="64" t="s">
        <v>17</v>
      </c>
      <c r="L557" s="64">
        <v>1.8</v>
      </c>
      <c r="M557" s="66">
        <v>0.27610605642287034</v>
      </c>
      <c r="N557" s="64">
        <v>3807.93</v>
      </c>
      <c r="O557" s="64" t="s">
        <v>18</v>
      </c>
    </row>
    <row r="558" spans="1:15" x14ac:dyDescent="0.3">
      <c r="A558" s="64">
        <v>557</v>
      </c>
      <c r="B558" s="64">
        <v>1359</v>
      </c>
      <c r="C558" s="64" t="s">
        <v>23</v>
      </c>
      <c r="D558" s="64" t="s">
        <v>14</v>
      </c>
      <c r="E558" s="64">
        <v>49443</v>
      </c>
      <c r="F558" s="64">
        <v>2</v>
      </c>
      <c r="G558" s="64">
        <v>98886</v>
      </c>
      <c r="H558" s="65">
        <v>45374</v>
      </c>
      <c r="I558" s="64" t="s">
        <v>30</v>
      </c>
      <c r="J558" s="64" t="s">
        <v>16</v>
      </c>
      <c r="K558" s="64" t="s">
        <v>17</v>
      </c>
      <c r="L558" s="64">
        <v>2.9</v>
      </c>
      <c r="M558" s="66">
        <v>0.15867726472908197</v>
      </c>
      <c r="N558" s="64">
        <v>13974.84</v>
      </c>
      <c r="O558" s="64" t="s">
        <v>18</v>
      </c>
    </row>
    <row r="559" spans="1:15" x14ac:dyDescent="0.3">
      <c r="A559" s="64">
        <v>558</v>
      </c>
      <c r="B559" s="64">
        <v>7732</v>
      </c>
      <c r="C559" s="64" t="s">
        <v>32</v>
      </c>
      <c r="D559" s="64" t="s">
        <v>25</v>
      </c>
      <c r="E559" s="64">
        <v>9439</v>
      </c>
      <c r="F559" s="64">
        <v>5</v>
      </c>
      <c r="G559" s="64">
        <v>47195</v>
      </c>
      <c r="H559" s="65">
        <v>45571</v>
      </c>
      <c r="I559" s="64" t="s">
        <v>33</v>
      </c>
      <c r="J559" s="64" t="s">
        <v>21</v>
      </c>
      <c r="K559" s="64" t="s">
        <v>24</v>
      </c>
      <c r="L559" s="64">
        <v>4.3</v>
      </c>
      <c r="M559" s="66">
        <v>0.1655914821485327</v>
      </c>
      <c r="N559" s="64">
        <v>6343.41</v>
      </c>
      <c r="O559" s="64" t="s">
        <v>18</v>
      </c>
    </row>
    <row r="560" spans="1:15" x14ac:dyDescent="0.3">
      <c r="A560" s="64">
        <v>559</v>
      </c>
      <c r="B560" s="64">
        <v>7024</v>
      </c>
      <c r="C560" s="64" t="s">
        <v>34</v>
      </c>
      <c r="D560" s="64" t="s">
        <v>20</v>
      </c>
      <c r="E560" s="64">
        <v>18025</v>
      </c>
      <c r="F560" s="64">
        <v>4</v>
      </c>
      <c r="G560" s="64">
        <v>72100</v>
      </c>
      <c r="H560" s="65">
        <v>45443</v>
      </c>
      <c r="I560" s="64" t="s">
        <v>26</v>
      </c>
      <c r="J560" s="64" t="s">
        <v>27</v>
      </c>
      <c r="K560" s="64" t="s">
        <v>24</v>
      </c>
      <c r="L560" s="64">
        <v>3.2</v>
      </c>
      <c r="M560" s="66">
        <v>0.25349861303744797</v>
      </c>
      <c r="N560" s="64">
        <v>3352.75</v>
      </c>
      <c r="O560" s="64" t="s">
        <v>18</v>
      </c>
    </row>
    <row r="561" spans="1:15" x14ac:dyDescent="0.3">
      <c r="A561" s="64">
        <v>560</v>
      </c>
      <c r="B561" s="64">
        <v>9565</v>
      </c>
      <c r="C561" s="64" t="s">
        <v>19</v>
      </c>
      <c r="D561" s="64" t="s">
        <v>14</v>
      </c>
      <c r="E561" s="64">
        <v>41460</v>
      </c>
      <c r="F561" s="64">
        <v>5</v>
      </c>
      <c r="G561" s="64">
        <v>207300</v>
      </c>
      <c r="H561" s="65">
        <v>45414</v>
      </c>
      <c r="I561" s="64" t="s">
        <v>30</v>
      </c>
      <c r="J561" s="64" t="s">
        <v>21</v>
      </c>
      <c r="K561" s="64" t="s">
        <v>17</v>
      </c>
      <c r="L561" s="64">
        <v>2.7</v>
      </c>
      <c r="M561" s="66">
        <v>5.8167679691268695E-2</v>
      </c>
      <c r="N561" s="64">
        <v>50131.839999999997</v>
      </c>
      <c r="O561" s="64" t="s">
        <v>22</v>
      </c>
    </row>
    <row r="562" spans="1:15" x14ac:dyDescent="0.3">
      <c r="A562" s="64">
        <v>561</v>
      </c>
      <c r="B562" s="64">
        <v>9491</v>
      </c>
      <c r="C562" s="64" t="s">
        <v>19</v>
      </c>
      <c r="D562" s="64" t="s">
        <v>14</v>
      </c>
      <c r="E562" s="64">
        <v>8371</v>
      </c>
      <c r="F562" s="64">
        <v>1</v>
      </c>
      <c r="G562" s="64">
        <v>8371</v>
      </c>
      <c r="H562" s="65">
        <v>45656</v>
      </c>
      <c r="I562" s="64" t="s">
        <v>30</v>
      </c>
      <c r="J562" s="64" t="s">
        <v>27</v>
      </c>
      <c r="K562" s="64" t="s">
        <v>17</v>
      </c>
      <c r="L562" s="64">
        <v>3.7</v>
      </c>
      <c r="M562" s="66">
        <v>0.18672679488711025</v>
      </c>
      <c r="N562" s="64">
        <v>948.21</v>
      </c>
      <c r="O562" s="64" t="s">
        <v>18</v>
      </c>
    </row>
    <row r="563" spans="1:15" x14ac:dyDescent="0.3">
      <c r="A563" s="64">
        <v>562</v>
      </c>
      <c r="B563" s="64">
        <v>9895</v>
      </c>
      <c r="C563" s="64" t="s">
        <v>32</v>
      </c>
      <c r="D563" s="64" t="s">
        <v>25</v>
      </c>
      <c r="E563" s="64">
        <v>20755</v>
      </c>
      <c r="F563" s="64">
        <v>3</v>
      </c>
      <c r="G563" s="64">
        <v>62265</v>
      </c>
      <c r="H563" s="65">
        <v>45362</v>
      </c>
      <c r="I563" s="64" t="s">
        <v>15</v>
      </c>
      <c r="J563" s="64" t="s">
        <v>27</v>
      </c>
      <c r="K563" s="64" t="s">
        <v>17</v>
      </c>
      <c r="L563" s="64">
        <v>2.6</v>
      </c>
      <c r="M563" s="66">
        <v>0.27202987231992287</v>
      </c>
      <c r="N563" s="64">
        <v>1741.56</v>
      </c>
      <c r="O563" s="64" t="s">
        <v>22</v>
      </c>
    </row>
    <row r="564" spans="1:15" x14ac:dyDescent="0.3">
      <c r="A564" s="64">
        <v>563</v>
      </c>
      <c r="B564" s="64">
        <v>6354</v>
      </c>
      <c r="C564" s="64" t="s">
        <v>29</v>
      </c>
      <c r="D564" s="64" t="s">
        <v>14</v>
      </c>
      <c r="E564" s="64">
        <v>45798</v>
      </c>
      <c r="F564" s="64">
        <v>1</v>
      </c>
      <c r="G564" s="64">
        <v>45798</v>
      </c>
      <c r="H564" s="65">
        <v>45651</v>
      </c>
      <c r="I564" s="64" t="s">
        <v>30</v>
      </c>
      <c r="J564" s="64" t="s">
        <v>16</v>
      </c>
      <c r="K564" s="64" t="s">
        <v>28</v>
      </c>
      <c r="L564" s="64">
        <v>3.8</v>
      </c>
      <c r="M564" s="66">
        <v>0.1821544608934888</v>
      </c>
      <c r="N564" s="64">
        <v>5397.09</v>
      </c>
      <c r="O564" s="64" t="s">
        <v>22</v>
      </c>
    </row>
    <row r="565" spans="1:15" x14ac:dyDescent="0.3">
      <c r="A565" s="64">
        <v>564</v>
      </c>
      <c r="B565" s="64">
        <v>5795</v>
      </c>
      <c r="C565" s="64" t="s">
        <v>19</v>
      </c>
      <c r="D565" s="64" t="s">
        <v>25</v>
      </c>
      <c r="E565" s="64">
        <v>3686</v>
      </c>
      <c r="F565" s="64">
        <v>4</v>
      </c>
      <c r="G565" s="64">
        <v>14744</v>
      </c>
      <c r="H565" s="65">
        <v>45440</v>
      </c>
      <c r="I565" s="64" t="s">
        <v>26</v>
      </c>
      <c r="J565" s="64" t="s">
        <v>31</v>
      </c>
      <c r="K565" s="64" t="s">
        <v>24</v>
      </c>
      <c r="L565" s="64">
        <v>1</v>
      </c>
      <c r="M565" s="66">
        <v>0.18981958762886597</v>
      </c>
      <c r="N565" s="64">
        <v>1624.5</v>
      </c>
      <c r="O565" s="64" t="s">
        <v>18</v>
      </c>
    </row>
    <row r="566" spans="1:15" x14ac:dyDescent="0.3">
      <c r="A566" s="64">
        <v>565</v>
      </c>
      <c r="B566" s="64">
        <v>9172</v>
      </c>
      <c r="C566" s="64" t="s">
        <v>32</v>
      </c>
      <c r="D566" s="64" t="s">
        <v>14</v>
      </c>
      <c r="E566" s="64">
        <v>6122</v>
      </c>
      <c r="F566" s="64">
        <v>4</v>
      </c>
      <c r="G566" s="64">
        <v>24488</v>
      </c>
      <c r="H566" s="65">
        <v>45325</v>
      </c>
      <c r="I566" s="64" t="s">
        <v>26</v>
      </c>
      <c r="J566" s="64" t="s">
        <v>31</v>
      </c>
      <c r="K566" s="64" t="s">
        <v>24</v>
      </c>
      <c r="L566" s="64">
        <v>3.8</v>
      </c>
      <c r="M566" s="66">
        <v>0.28325710552107153</v>
      </c>
      <c r="N566" s="64">
        <v>410</v>
      </c>
      <c r="O566" s="64" t="s">
        <v>18</v>
      </c>
    </row>
    <row r="567" spans="1:15" x14ac:dyDescent="0.3">
      <c r="A567" s="64">
        <v>566</v>
      </c>
      <c r="B567" s="64">
        <v>8732</v>
      </c>
      <c r="C567" s="64" t="s">
        <v>19</v>
      </c>
      <c r="D567" s="64" t="s">
        <v>25</v>
      </c>
      <c r="E567" s="64">
        <v>24447</v>
      </c>
      <c r="F567" s="64">
        <v>1</v>
      </c>
      <c r="G567" s="64">
        <v>24447</v>
      </c>
      <c r="H567" s="65">
        <v>45358</v>
      </c>
      <c r="I567" s="64" t="s">
        <v>26</v>
      </c>
      <c r="J567" s="64" t="s">
        <v>21</v>
      </c>
      <c r="K567" s="64" t="s">
        <v>24</v>
      </c>
      <c r="L567" s="64">
        <v>4.5999999999999996</v>
      </c>
      <c r="M567" s="66">
        <v>0.22209514459851926</v>
      </c>
      <c r="N567" s="64">
        <v>1904.54</v>
      </c>
      <c r="O567" s="64" t="s">
        <v>18</v>
      </c>
    </row>
    <row r="568" spans="1:15" x14ac:dyDescent="0.3">
      <c r="A568" s="64">
        <v>567</v>
      </c>
      <c r="B568" s="64">
        <v>8739</v>
      </c>
      <c r="C568" s="64" t="s">
        <v>19</v>
      </c>
      <c r="D568" s="64" t="s">
        <v>20</v>
      </c>
      <c r="E568" s="64">
        <v>48945</v>
      </c>
      <c r="F568" s="64">
        <v>4</v>
      </c>
      <c r="G568" s="64">
        <v>195780</v>
      </c>
      <c r="H568" s="65">
        <v>45396</v>
      </c>
      <c r="I568" s="64" t="s">
        <v>15</v>
      </c>
      <c r="J568" s="64" t="s">
        <v>31</v>
      </c>
      <c r="K568" s="64" t="s">
        <v>17</v>
      </c>
      <c r="L568" s="64">
        <v>3</v>
      </c>
      <c r="M568" s="66">
        <v>7.8981765246705485E-2</v>
      </c>
      <c r="N568" s="64">
        <v>43270.95</v>
      </c>
      <c r="O568" s="64" t="s">
        <v>18</v>
      </c>
    </row>
    <row r="569" spans="1:15" x14ac:dyDescent="0.3">
      <c r="A569" s="64">
        <v>568</v>
      </c>
      <c r="B569" s="64">
        <v>3137</v>
      </c>
      <c r="C569" s="64" t="s">
        <v>32</v>
      </c>
      <c r="D569" s="64" t="s">
        <v>14</v>
      </c>
      <c r="E569" s="64">
        <v>32357</v>
      </c>
      <c r="F569" s="64">
        <v>1</v>
      </c>
      <c r="G569" s="64">
        <v>32357</v>
      </c>
      <c r="H569" s="65">
        <v>45538</v>
      </c>
      <c r="I569" s="64" t="s">
        <v>30</v>
      </c>
      <c r="J569" s="64" t="s">
        <v>27</v>
      </c>
      <c r="K569" s="64" t="s">
        <v>24</v>
      </c>
      <c r="L569" s="64">
        <v>3.4</v>
      </c>
      <c r="M569" s="66">
        <v>0.27035540995765983</v>
      </c>
      <c r="N569" s="64">
        <v>959.21</v>
      </c>
      <c r="O569" s="64" t="s">
        <v>22</v>
      </c>
    </row>
    <row r="570" spans="1:15" x14ac:dyDescent="0.3">
      <c r="A570" s="64">
        <v>569</v>
      </c>
      <c r="B570" s="64">
        <v>2333</v>
      </c>
      <c r="C570" s="64" t="s">
        <v>23</v>
      </c>
      <c r="D570" s="64" t="s">
        <v>25</v>
      </c>
      <c r="E570" s="64">
        <v>13524</v>
      </c>
      <c r="F570" s="64">
        <v>2</v>
      </c>
      <c r="G570" s="64">
        <v>27048</v>
      </c>
      <c r="H570" s="65">
        <v>45349</v>
      </c>
      <c r="I570" s="64" t="s">
        <v>30</v>
      </c>
      <c r="J570" s="64" t="s">
        <v>31</v>
      </c>
      <c r="K570" s="64" t="s">
        <v>28</v>
      </c>
      <c r="L570" s="64">
        <v>4.4000000000000004</v>
      </c>
      <c r="M570" s="66">
        <v>0.25795511682934041</v>
      </c>
      <c r="N570" s="64">
        <v>1137.23</v>
      </c>
      <c r="O570" s="64" t="s">
        <v>18</v>
      </c>
    </row>
    <row r="571" spans="1:15" x14ac:dyDescent="0.3">
      <c r="A571" s="64">
        <v>570</v>
      </c>
      <c r="B571" s="64">
        <v>1974</v>
      </c>
      <c r="C571" s="64" t="s">
        <v>23</v>
      </c>
      <c r="D571" s="64" t="s">
        <v>14</v>
      </c>
      <c r="E571" s="64">
        <v>1261</v>
      </c>
      <c r="F571" s="64">
        <v>3</v>
      </c>
      <c r="G571" s="64">
        <v>3783</v>
      </c>
      <c r="H571" s="65">
        <v>45455</v>
      </c>
      <c r="I571" s="64" t="s">
        <v>15</v>
      </c>
      <c r="J571" s="64" t="s">
        <v>31</v>
      </c>
      <c r="K571" s="64" t="s">
        <v>24</v>
      </c>
      <c r="L571" s="64">
        <v>2.8</v>
      </c>
      <c r="M571" s="66">
        <v>0.20656621728786678</v>
      </c>
      <c r="N571" s="64">
        <v>353.46</v>
      </c>
      <c r="O571" s="64" t="s">
        <v>22</v>
      </c>
    </row>
    <row r="572" spans="1:15" x14ac:dyDescent="0.3">
      <c r="A572" s="64">
        <v>571</v>
      </c>
      <c r="B572" s="64">
        <v>3349</v>
      </c>
      <c r="C572" s="64" t="s">
        <v>29</v>
      </c>
      <c r="D572" s="64" t="s">
        <v>14</v>
      </c>
      <c r="E572" s="64">
        <v>2671</v>
      </c>
      <c r="F572" s="64">
        <v>3</v>
      </c>
      <c r="G572" s="64">
        <v>8013</v>
      </c>
      <c r="H572" s="65">
        <v>45576</v>
      </c>
      <c r="I572" s="64" t="s">
        <v>33</v>
      </c>
      <c r="J572" s="64" t="s">
        <v>35</v>
      </c>
      <c r="K572" s="64" t="s">
        <v>24</v>
      </c>
      <c r="L572" s="64">
        <v>4.2</v>
      </c>
      <c r="M572" s="66">
        <v>7.931111943092474E-2</v>
      </c>
      <c r="N572" s="64">
        <v>1768.38</v>
      </c>
      <c r="O572" s="64" t="s">
        <v>18</v>
      </c>
    </row>
    <row r="573" spans="1:15" x14ac:dyDescent="0.3">
      <c r="A573" s="64">
        <v>572</v>
      </c>
      <c r="B573" s="64">
        <v>5122</v>
      </c>
      <c r="C573" s="64" t="s">
        <v>32</v>
      </c>
      <c r="D573" s="64" t="s">
        <v>14</v>
      </c>
      <c r="E573" s="64">
        <v>43090</v>
      </c>
      <c r="F573" s="64">
        <v>2</v>
      </c>
      <c r="G573" s="64">
        <v>86180</v>
      </c>
      <c r="H573" s="65">
        <v>45382</v>
      </c>
      <c r="I573" s="64" t="s">
        <v>30</v>
      </c>
      <c r="J573" s="64" t="s">
        <v>31</v>
      </c>
      <c r="K573" s="64" t="s">
        <v>24</v>
      </c>
      <c r="L573" s="64">
        <v>3.4</v>
      </c>
      <c r="M573" s="66">
        <v>0.25135402645625432</v>
      </c>
      <c r="N573" s="64">
        <v>4192.3100000000004</v>
      </c>
      <c r="O573" s="64" t="s">
        <v>22</v>
      </c>
    </row>
    <row r="574" spans="1:15" x14ac:dyDescent="0.3">
      <c r="A574" s="64">
        <v>573</v>
      </c>
      <c r="B574" s="64">
        <v>6377</v>
      </c>
      <c r="C574" s="64" t="s">
        <v>19</v>
      </c>
      <c r="D574" s="64" t="s">
        <v>20</v>
      </c>
      <c r="E574" s="64">
        <v>15911</v>
      </c>
      <c r="F574" s="64">
        <v>2</v>
      </c>
      <c r="G574" s="64">
        <v>31822</v>
      </c>
      <c r="H574" s="65">
        <v>45628</v>
      </c>
      <c r="I574" s="64" t="s">
        <v>33</v>
      </c>
      <c r="J574" s="64" t="s">
        <v>31</v>
      </c>
      <c r="K574" s="64" t="s">
        <v>24</v>
      </c>
      <c r="L574" s="64">
        <v>2.4</v>
      </c>
      <c r="M574" s="66">
        <v>0.23144176984476147</v>
      </c>
      <c r="N574" s="64">
        <v>2181.66</v>
      </c>
      <c r="O574" s="64" t="s">
        <v>22</v>
      </c>
    </row>
    <row r="575" spans="1:15" x14ac:dyDescent="0.3">
      <c r="A575" s="64">
        <v>574</v>
      </c>
      <c r="B575" s="64">
        <v>3794</v>
      </c>
      <c r="C575" s="64" t="s">
        <v>13</v>
      </c>
      <c r="D575" s="64" t="s">
        <v>20</v>
      </c>
      <c r="E575" s="64">
        <v>11060</v>
      </c>
      <c r="F575" s="64">
        <v>1</v>
      </c>
      <c r="G575" s="64">
        <v>11060</v>
      </c>
      <c r="H575" s="65">
        <v>45494</v>
      </c>
      <c r="I575" s="64" t="s">
        <v>26</v>
      </c>
      <c r="J575" s="64" t="s">
        <v>21</v>
      </c>
      <c r="K575" s="64" t="s">
        <v>28</v>
      </c>
      <c r="L575" s="64">
        <v>1.9</v>
      </c>
      <c r="M575" s="66">
        <v>0.18594394213381554</v>
      </c>
      <c r="N575" s="64">
        <v>1261.46</v>
      </c>
      <c r="O575" s="64" t="s">
        <v>22</v>
      </c>
    </row>
    <row r="576" spans="1:15" x14ac:dyDescent="0.3">
      <c r="A576" s="64">
        <v>575</v>
      </c>
      <c r="B576" s="64">
        <v>9169</v>
      </c>
      <c r="C576" s="64" t="s">
        <v>32</v>
      </c>
      <c r="D576" s="64" t="s">
        <v>14</v>
      </c>
      <c r="E576" s="64">
        <v>5950</v>
      </c>
      <c r="F576" s="64">
        <v>1</v>
      </c>
      <c r="G576" s="64">
        <v>5950</v>
      </c>
      <c r="H576" s="65">
        <v>45377</v>
      </c>
      <c r="I576" s="64" t="s">
        <v>30</v>
      </c>
      <c r="J576" s="64" t="s">
        <v>16</v>
      </c>
      <c r="K576" s="64" t="s">
        <v>24</v>
      </c>
      <c r="L576" s="64">
        <v>3.5</v>
      </c>
      <c r="M576" s="66">
        <v>7.8194957983193272E-2</v>
      </c>
      <c r="N576" s="64">
        <v>1319.74</v>
      </c>
      <c r="O576" s="64" t="s">
        <v>18</v>
      </c>
    </row>
    <row r="577" spans="1:15" x14ac:dyDescent="0.3">
      <c r="A577" s="64">
        <v>576</v>
      </c>
      <c r="B577" s="64">
        <v>8821</v>
      </c>
      <c r="C577" s="64" t="s">
        <v>23</v>
      </c>
      <c r="D577" s="64" t="s">
        <v>25</v>
      </c>
      <c r="E577" s="64">
        <v>31546</v>
      </c>
      <c r="F577" s="64">
        <v>2</v>
      </c>
      <c r="G577" s="64">
        <v>63092</v>
      </c>
      <c r="H577" s="65">
        <v>45473</v>
      </c>
      <c r="I577" s="64" t="s">
        <v>26</v>
      </c>
      <c r="J577" s="64" t="s">
        <v>21</v>
      </c>
      <c r="K577" s="64" t="s">
        <v>24</v>
      </c>
      <c r="L577" s="64">
        <v>2.5</v>
      </c>
      <c r="M577" s="66">
        <v>0.16289545425727509</v>
      </c>
      <c r="N577" s="64">
        <v>8650.2000000000007</v>
      </c>
      <c r="O577" s="64" t="s">
        <v>18</v>
      </c>
    </row>
    <row r="578" spans="1:15" x14ac:dyDescent="0.3">
      <c r="A578" s="64">
        <v>577</v>
      </c>
      <c r="B578" s="64">
        <v>4074</v>
      </c>
      <c r="C578" s="64" t="s">
        <v>29</v>
      </c>
      <c r="D578" s="64" t="s">
        <v>14</v>
      </c>
      <c r="E578" s="64">
        <v>44578</v>
      </c>
      <c r="F578" s="64">
        <v>4</v>
      </c>
      <c r="G578" s="64">
        <v>178312</v>
      </c>
      <c r="H578" s="65">
        <v>45371</v>
      </c>
      <c r="I578" s="64" t="s">
        <v>15</v>
      </c>
      <c r="J578" s="64" t="s">
        <v>31</v>
      </c>
      <c r="K578" s="64" t="s">
        <v>28</v>
      </c>
      <c r="L578" s="64">
        <v>3.5</v>
      </c>
      <c r="M578" s="66">
        <v>6.7224752119879758E-2</v>
      </c>
      <c r="N578" s="64">
        <v>41506.620000000003</v>
      </c>
      <c r="O578" s="64" t="s">
        <v>18</v>
      </c>
    </row>
    <row r="579" spans="1:15" x14ac:dyDescent="0.3">
      <c r="A579" s="64">
        <v>578</v>
      </c>
      <c r="B579" s="64">
        <v>8772</v>
      </c>
      <c r="C579" s="64" t="s">
        <v>13</v>
      </c>
      <c r="D579" s="64" t="s">
        <v>14</v>
      </c>
      <c r="E579" s="64">
        <v>28922</v>
      </c>
      <c r="F579" s="64">
        <v>3</v>
      </c>
      <c r="G579" s="64">
        <v>86766</v>
      </c>
      <c r="H579" s="65">
        <v>45591</v>
      </c>
      <c r="I579" s="64" t="s">
        <v>30</v>
      </c>
      <c r="J579" s="64" t="s">
        <v>27</v>
      </c>
      <c r="K579" s="64" t="s">
        <v>17</v>
      </c>
      <c r="L579" s="64">
        <v>4</v>
      </c>
      <c r="M579" s="66">
        <v>0.16715533734412097</v>
      </c>
      <c r="N579" s="64">
        <v>11526.4</v>
      </c>
      <c r="O579" s="64" t="s">
        <v>22</v>
      </c>
    </row>
    <row r="580" spans="1:15" x14ac:dyDescent="0.3">
      <c r="A580" s="64">
        <v>579</v>
      </c>
      <c r="B580" s="64">
        <v>2587</v>
      </c>
      <c r="C580" s="64" t="s">
        <v>29</v>
      </c>
      <c r="D580" s="64" t="s">
        <v>20</v>
      </c>
      <c r="E580" s="64">
        <v>40265</v>
      </c>
      <c r="F580" s="64">
        <v>4</v>
      </c>
      <c r="G580" s="64">
        <v>161060</v>
      </c>
      <c r="H580" s="65">
        <v>45349</v>
      </c>
      <c r="I580" s="64" t="s">
        <v>15</v>
      </c>
      <c r="J580" s="64" t="s">
        <v>21</v>
      </c>
      <c r="K580" s="64" t="s">
        <v>28</v>
      </c>
      <c r="L580" s="64">
        <v>1.8</v>
      </c>
      <c r="M580" s="66">
        <v>9.3869613808518562E-2</v>
      </c>
      <c r="N580" s="64">
        <v>33199.360000000001</v>
      </c>
      <c r="O580" s="64" t="s">
        <v>22</v>
      </c>
    </row>
    <row r="581" spans="1:15" x14ac:dyDescent="0.3">
      <c r="A581" s="64">
        <v>580</v>
      </c>
      <c r="B581" s="64">
        <v>1043</v>
      </c>
      <c r="C581" s="64" t="s">
        <v>34</v>
      </c>
      <c r="D581" s="64" t="s">
        <v>14</v>
      </c>
      <c r="E581" s="64">
        <v>28463</v>
      </c>
      <c r="F581" s="64">
        <v>1</v>
      </c>
      <c r="G581" s="64">
        <v>28463</v>
      </c>
      <c r="H581" s="65">
        <v>45608</v>
      </c>
      <c r="I581" s="64" t="s">
        <v>26</v>
      </c>
      <c r="J581" s="64" t="s">
        <v>31</v>
      </c>
      <c r="K581" s="64" t="s">
        <v>24</v>
      </c>
      <c r="L581" s="64">
        <v>2.6</v>
      </c>
      <c r="M581" s="66">
        <v>5.2582651161156589E-2</v>
      </c>
      <c r="N581" s="64">
        <v>7042.24</v>
      </c>
      <c r="O581" s="64" t="s">
        <v>22</v>
      </c>
    </row>
    <row r="582" spans="1:15" x14ac:dyDescent="0.3">
      <c r="A582" s="64">
        <v>581</v>
      </c>
      <c r="B582" s="64">
        <v>9894</v>
      </c>
      <c r="C582" s="64" t="s">
        <v>13</v>
      </c>
      <c r="D582" s="64" t="s">
        <v>25</v>
      </c>
      <c r="E582" s="64">
        <v>12814</v>
      </c>
      <c r="F582" s="64">
        <v>3</v>
      </c>
      <c r="G582" s="64">
        <v>38442</v>
      </c>
      <c r="H582" s="65">
        <v>45652</v>
      </c>
      <c r="I582" s="64" t="s">
        <v>26</v>
      </c>
      <c r="J582" s="64" t="s">
        <v>31</v>
      </c>
      <c r="K582" s="64" t="s">
        <v>24</v>
      </c>
      <c r="L582" s="64">
        <v>3.8</v>
      </c>
      <c r="M582" s="66">
        <v>0.26291217938712869</v>
      </c>
      <c r="N582" s="64">
        <v>1425.73</v>
      </c>
      <c r="O582" s="64" t="s">
        <v>22</v>
      </c>
    </row>
    <row r="583" spans="1:15" x14ac:dyDescent="0.3">
      <c r="A583" s="64">
        <v>582</v>
      </c>
      <c r="B583" s="64">
        <v>6950</v>
      </c>
      <c r="C583" s="64" t="s">
        <v>29</v>
      </c>
      <c r="D583" s="64" t="s">
        <v>14</v>
      </c>
      <c r="E583" s="64">
        <v>43538</v>
      </c>
      <c r="F583" s="64">
        <v>4</v>
      </c>
      <c r="G583" s="64">
        <v>174152</v>
      </c>
      <c r="H583" s="65">
        <v>45478</v>
      </c>
      <c r="I583" s="64" t="s">
        <v>30</v>
      </c>
      <c r="J583" s="64" t="s">
        <v>31</v>
      </c>
      <c r="K583" s="64" t="s">
        <v>24</v>
      </c>
      <c r="L583" s="64">
        <v>4.4000000000000004</v>
      </c>
      <c r="M583" s="66">
        <v>0.1029272704304286</v>
      </c>
      <c r="N583" s="64">
        <v>34320.61</v>
      </c>
      <c r="O583" s="64" t="s">
        <v>18</v>
      </c>
    </row>
    <row r="584" spans="1:15" x14ac:dyDescent="0.3">
      <c r="A584" s="64">
        <v>583</v>
      </c>
      <c r="B584" s="64">
        <v>7945</v>
      </c>
      <c r="C584" s="64" t="s">
        <v>23</v>
      </c>
      <c r="D584" s="64" t="s">
        <v>20</v>
      </c>
      <c r="E584" s="64">
        <v>27746</v>
      </c>
      <c r="F584" s="64">
        <v>1</v>
      </c>
      <c r="G584" s="64">
        <v>27746</v>
      </c>
      <c r="H584" s="65">
        <v>45306</v>
      </c>
      <c r="I584" s="64" t="s">
        <v>26</v>
      </c>
      <c r="J584" s="64" t="s">
        <v>31</v>
      </c>
      <c r="K584" s="64" t="s">
        <v>17</v>
      </c>
      <c r="L584" s="64">
        <v>1.6</v>
      </c>
      <c r="M584" s="66">
        <v>7.2574425142362869E-2</v>
      </c>
      <c r="N584" s="64">
        <v>6310.15</v>
      </c>
      <c r="O584" s="64" t="s">
        <v>22</v>
      </c>
    </row>
    <row r="585" spans="1:15" x14ac:dyDescent="0.3">
      <c r="A585" s="64">
        <v>584</v>
      </c>
      <c r="B585" s="64">
        <v>4347</v>
      </c>
      <c r="C585" s="64" t="s">
        <v>19</v>
      </c>
      <c r="D585" s="64" t="s">
        <v>25</v>
      </c>
      <c r="E585" s="64">
        <v>4525</v>
      </c>
      <c r="F585" s="64">
        <v>4</v>
      </c>
      <c r="G585" s="64">
        <v>18100</v>
      </c>
      <c r="H585" s="65">
        <v>45401</v>
      </c>
      <c r="I585" s="64" t="s">
        <v>26</v>
      </c>
      <c r="J585" s="64" t="s">
        <v>16</v>
      </c>
      <c r="K585" s="64" t="s">
        <v>28</v>
      </c>
      <c r="L585" s="64">
        <v>2.6</v>
      </c>
      <c r="M585" s="66">
        <v>0.2417370165745856</v>
      </c>
      <c r="N585" s="64">
        <v>1054.56</v>
      </c>
      <c r="O585" s="64" t="s">
        <v>22</v>
      </c>
    </row>
    <row r="586" spans="1:15" x14ac:dyDescent="0.3">
      <c r="A586" s="64">
        <v>585</v>
      </c>
      <c r="B586" s="64">
        <v>8394</v>
      </c>
      <c r="C586" s="64" t="s">
        <v>32</v>
      </c>
      <c r="D586" s="64" t="s">
        <v>20</v>
      </c>
      <c r="E586" s="64">
        <v>31545</v>
      </c>
      <c r="F586" s="64">
        <v>5</v>
      </c>
      <c r="G586" s="64">
        <v>157725</v>
      </c>
      <c r="H586" s="65">
        <v>45403</v>
      </c>
      <c r="I586" s="64" t="s">
        <v>26</v>
      </c>
      <c r="J586" s="64" t="s">
        <v>31</v>
      </c>
      <c r="K586" s="64" t="s">
        <v>24</v>
      </c>
      <c r="L586" s="64">
        <v>3.1</v>
      </c>
      <c r="M586" s="66">
        <v>0.23098107465525439</v>
      </c>
      <c r="N586" s="64">
        <v>10886.01</v>
      </c>
      <c r="O586" s="64" t="s">
        <v>22</v>
      </c>
    </row>
    <row r="587" spans="1:15" x14ac:dyDescent="0.3">
      <c r="A587" s="64">
        <v>586</v>
      </c>
      <c r="B587" s="64">
        <v>4623</v>
      </c>
      <c r="C587" s="64" t="s">
        <v>13</v>
      </c>
      <c r="D587" s="64" t="s">
        <v>14</v>
      </c>
      <c r="E587" s="64">
        <v>40047</v>
      </c>
      <c r="F587" s="64">
        <v>3</v>
      </c>
      <c r="G587" s="64">
        <v>120141</v>
      </c>
      <c r="H587" s="65">
        <v>45447</v>
      </c>
      <c r="I587" s="64" t="s">
        <v>15</v>
      </c>
      <c r="J587" s="64" t="s">
        <v>16</v>
      </c>
      <c r="K587" s="64" t="s">
        <v>17</v>
      </c>
      <c r="L587" s="64">
        <v>2.7</v>
      </c>
      <c r="M587" s="66">
        <v>0.20577396559043123</v>
      </c>
      <c r="N587" s="64">
        <v>11320.41</v>
      </c>
      <c r="O587" s="64" t="s">
        <v>18</v>
      </c>
    </row>
    <row r="588" spans="1:15" x14ac:dyDescent="0.3">
      <c r="A588" s="64">
        <v>587</v>
      </c>
      <c r="B588" s="64">
        <v>9409</v>
      </c>
      <c r="C588" s="64" t="s">
        <v>34</v>
      </c>
      <c r="D588" s="64" t="s">
        <v>25</v>
      </c>
      <c r="E588" s="64">
        <v>26523</v>
      </c>
      <c r="F588" s="64">
        <v>2</v>
      </c>
      <c r="G588" s="64">
        <v>53046</v>
      </c>
      <c r="H588" s="65">
        <v>45521</v>
      </c>
      <c r="I588" s="64" t="s">
        <v>26</v>
      </c>
      <c r="J588" s="64" t="s">
        <v>27</v>
      </c>
      <c r="K588" s="64" t="s">
        <v>28</v>
      </c>
      <c r="L588" s="64">
        <v>1.6</v>
      </c>
      <c r="M588" s="66">
        <v>0.10057591524337367</v>
      </c>
      <c r="N588" s="64">
        <v>10578.65</v>
      </c>
      <c r="O588" s="64" t="s">
        <v>18</v>
      </c>
    </row>
    <row r="589" spans="1:15" x14ac:dyDescent="0.3">
      <c r="A589" s="64">
        <v>588</v>
      </c>
      <c r="B589" s="64">
        <v>1330</v>
      </c>
      <c r="C589" s="64" t="s">
        <v>32</v>
      </c>
      <c r="D589" s="64" t="s">
        <v>25</v>
      </c>
      <c r="E589" s="64">
        <v>27062</v>
      </c>
      <c r="F589" s="64">
        <v>3</v>
      </c>
      <c r="G589" s="64">
        <v>81186</v>
      </c>
      <c r="H589" s="65">
        <v>45398</v>
      </c>
      <c r="I589" s="64" t="s">
        <v>15</v>
      </c>
      <c r="J589" s="64" t="s">
        <v>35</v>
      </c>
      <c r="K589" s="64" t="s">
        <v>28</v>
      </c>
      <c r="L589" s="64">
        <v>1.2</v>
      </c>
      <c r="M589" s="66">
        <v>0.17883723794742937</v>
      </c>
      <c r="N589" s="64">
        <v>9836.7199999999993</v>
      </c>
      <c r="O589" s="64" t="s">
        <v>18</v>
      </c>
    </row>
    <row r="590" spans="1:15" x14ac:dyDescent="0.3">
      <c r="A590" s="64">
        <v>589</v>
      </c>
      <c r="B590" s="64">
        <v>4543</v>
      </c>
      <c r="C590" s="64" t="s">
        <v>13</v>
      </c>
      <c r="D590" s="64" t="s">
        <v>25</v>
      </c>
      <c r="E590" s="64">
        <v>18145</v>
      </c>
      <c r="F590" s="64">
        <v>3</v>
      </c>
      <c r="G590" s="64">
        <v>54435</v>
      </c>
      <c r="H590" s="65">
        <v>45347</v>
      </c>
      <c r="I590" s="64" t="s">
        <v>26</v>
      </c>
      <c r="J590" s="64" t="s">
        <v>27</v>
      </c>
      <c r="K590" s="64" t="s">
        <v>28</v>
      </c>
      <c r="L590" s="64">
        <v>1.7</v>
      </c>
      <c r="M590" s="66">
        <v>0.16655148342059337</v>
      </c>
      <c r="N590" s="64">
        <v>7264.27</v>
      </c>
      <c r="O590" s="64" t="s">
        <v>22</v>
      </c>
    </row>
    <row r="591" spans="1:15" x14ac:dyDescent="0.3">
      <c r="A591" s="64">
        <v>590</v>
      </c>
      <c r="B591" s="64">
        <v>5632</v>
      </c>
      <c r="C591" s="64" t="s">
        <v>34</v>
      </c>
      <c r="D591" s="64" t="s">
        <v>14</v>
      </c>
      <c r="E591" s="64">
        <v>18977</v>
      </c>
      <c r="F591" s="64">
        <v>3</v>
      </c>
      <c r="G591" s="64">
        <v>56931</v>
      </c>
      <c r="H591" s="65">
        <v>45457</v>
      </c>
      <c r="I591" s="64" t="s">
        <v>26</v>
      </c>
      <c r="J591" s="64" t="s">
        <v>21</v>
      </c>
      <c r="K591" s="64" t="s">
        <v>28</v>
      </c>
      <c r="L591" s="64">
        <v>4.5999999999999996</v>
      </c>
      <c r="M591" s="66">
        <v>5.3161546433401839E-2</v>
      </c>
      <c r="N591" s="64">
        <v>14052.76</v>
      </c>
      <c r="O591" s="64" t="s">
        <v>18</v>
      </c>
    </row>
    <row r="592" spans="1:15" x14ac:dyDescent="0.3">
      <c r="A592" s="64">
        <v>591</v>
      </c>
      <c r="B592" s="64">
        <v>9294</v>
      </c>
      <c r="C592" s="64" t="s">
        <v>29</v>
      </c>
      <c r="D592" s="64" t="s">
        <v>20</v>
      </c>
      <c r="E592" s="64">
        <v>15066</v>
      </c>
      <c r="F592" s="64">
        <v>5</v>
      </c>
      <c r="G592" s="64">
        <v>75330</v>
      </c>
      <c r="H592" s="65">
        <v>45504</v>
      </c>
      <c r="I592" s="64" t="s">
        <v>15</v>
      </c>
      <c r="J592" s="64" t="s">
        <v>16</v>
      </c>
      <c r="K592" s="64" t="s">
        <v>17</v>
      </c>
      <c r="L592" s="64">
        <v>2</v>
      </c>
      <c r="M592" s="66">
        <v>0.29666533917429971</v>
      </c>
      <c r="N592" s="64">
        <v>251.2</v>
      </c>
      <c r="O592" s="64" t="s">
        <v>18</v>
      </c>
    </row>
    <row r="593" spans="1:15" x14ac:dyDescent="0.3">
      <c r="A593" s="64">
        <v>592</v>
      </c>
      <c r="B593" s="64">
        <v>9641</v>
      </c>
      <c r="C593" s="64" t="s">
        <v>29</v>
      </c>
      <c r="D593" s="64" t="s">
        <v>20</v>
      </c>
      <c r="E593" s="64">
        <v>40145</v>
      </c>
      <c r="F593" s="64">
        <v>1</v>
      </c>
      <c r="G593" s="64">
        <v>40145</v>
      </c>
      <c r="H593" s="65">
        <v>45441</v>
      </c>
      <c r="I593" s="64" t="s">
        <v>33</v>
      </c>
      <c r="J593" s="64" t="s">
        <v>27</v>
      </c>
      <c r="K593" s="64" t="s">
        <v>17</v>
      </c>
      <c r="L593" s="64">
        <v>2.7</v>
      </c>
      <c r="M593" s="66">
        <v>0.13240727363308008</v>
      </c>
      <c r="N593" s="64">
        <v>6728.01</v>
      </c>
      <c r="O593" s="64" t="s">
        <v>22</v>
      </c>
    </row>
    <row r="594" spans="1:15" x14ac:dyDescent="0.3">
      <c r="A594" s="64">
        <v>593</v>
      </c>
      <c r="B594" s="64">
        <v>8532</v>
      </c>
      <c r="C594" s="64" t="s">
        <v>23</v>
      </c>
      <c r="D594" s="64" t="s">
        <v>20</v>
      </c>
      <c r="E594" s="64">
        <v>26762</v>
      </c>
      <c r="F594" s="64">
        <v>3</v>
      </c>
      <c r="G594" s="64">
        <v>80286</v>
      </c>
      <c r="H594" s="65">
        <v>45617</v>
      </c>
      <c r="I594" s="64" t="s">
        <v>30</v>
      </c>
      <c r="J594" s="64" t="s">
        <v>31</v>
      </c>
      <c r="K594" s="64" t="s">
        <v>17</v>
      </c>
      <c r="L594" s="64">
        <v>4.5999999999999996</v>
      </c>
      <c r="M594" s="66">
        <v>8.5800264055999803E-2</v>
      </c>
      <c r="N594" s="64">
        <v>17197.240000000002</v>
      </c>
      <c r="O594" s="64" t="s">
        <v>18</v>
      </c>
    </row>
    <row r="595" spans="1:15" x14ac:dyDescent="0.3">
      <c r="A595" s="64">
        <v>594</v>
      </c>
      <c r="B595" s="64">
        <v>7049</v>
      </c>
      <c r="C595" s="64" t="s">
        <v>32</v>
      </c>
      <c r="D595" s="64" t="s">
        <v>25</v>
      </c>
      <c r="E595" s="64">
        <v>41862</v>
      </c>
      <c r="F595" s="64">
        <v>4</v>
      </c>
      <c r="G595" s="64">
        <v>167448</v>
      </c>
      <c r="H595" s="65">
        <v>45538</v>
      </c>
      <c r="I595" s="64" t="s">
        <v>33</v>
      </c>
      <c r="J595" s="64" t="s">
        <v>21</v>
      </c>
      <c r="K595" s="64" t="s">
        <v>28</v>
      </c>
      <c r="L595" s="64">
        <v>2.2000000000000002</v>
      </c>
      <c r="M595" s="66">
        <v>0.18759155080980366</v>
      </c>
      <c r="N595" s="64">
        <v>18822.57</v>
      </c>
      <c r="O595" s="64" t="s">
        <v>18</v>
      </c>
    </row>
    <row r="596" spans="1:15" x14ac:dyDescent="0.3">
      <c r="A596" s="64">
        <v>595</v>
      </c>
      <c r="B596" s="64">
        <v>3319</v>
      </c>
      <c r="C596" s="64" t="s">
        <v>13</v>
      </c>
      <c r="D596" s="64" t="s">
        <v>25</v>
      </c>
      <c r="E596" s="64">
        <v>45094</v>
      </c>
      <c r="F596" s="64">
        <v>2</v>
      </c>
      <c r="G596" s="64">
        <v>90188</v>
      </c>
      <c r="H596" s="65">
        <v>45314</v>
      </c>
      <c r="I596" s="64" t="s">
        <v>15</v>
      </c>
      <c r="J596" s="64" t="s">
        <v>16</v>
      </c>
      <c r="K596" s="64" t="s">
        <v>17</v>
      </c>
      <c r="L596" s="64">
        <v>2.5</v>
      </c>
      <c r="M596" s="66">
        <v>0.24449139575109768</v>
      </c>
      <c r="N596" s="64">
        <v>5006.21</v>
      </c>
      <c r="O596" s="64" t="s">
        <v>18</v>
      </c>
    </row>
    <row r="597" spans="1:15" x14ac:dyDescent="0.3">
      <c r="A597" s="64">
        <v>596</v>
      </c>
      <c r="B597" s="64">
        <v>2249</v>
      </c>
      <c r="C597" s="64" t="s">
        <v>29</v>
      </c>
      <c r="D597" s="64" t="s">
        <v>20</v>
      </c>
      <c r="E597" s="64">
        <v>31148</v>
      </c>
      <c r="F597" s="64">
        <v>1</v>
      </c>
      <c r="G597" s="64">
        <v>31148</v>
      </c>
      <c r="H597" s="65">
        <v>45511</v>
      </c>
      <c r="I597" s="64" t="s">
        <v>30</v>
      </c>
      <c r="J597" s="64" t="s">
        <v>31</v>
      </c>
      <c r="K597" s="64" t="s">
        <v>17</v>
      </c>
      <c r="L597" s="64">
        <v>1.4</v>
      </c>
      <c r="M597" s="66">
        <v>0.23747527931167331</v>
      </c>
      <c r="N597" s="64">
        <v>1947.52</v>
      </c>
      <c r="O597" s="64" t="s">
        <v>18</v>
      </c>
    </row>
    <row r="598" spans="1:15" x14ac:dyDescent="0.3">
      <c r="A598" s="64">
        <v>597</v>
      </c>
      <c r="B598" s="64">
        <v>2866</v>
      </c>
      <c r="C598" s="64" t="s">
        <v>32</v>
      </c>
      <c r="D598" s="64" t="s">
        <v>25</v>
      </c>
      <c r="E598" s="64">
        <v>32813</v>
      </c>
      <c r="F598" s="64">
        <v>1</v>
      </c>
      <c r="G598" s="64">
        <v>32813</v>
      </c>
      <c r="H598" s="65">
        <v>45592</v>
      </c>
      <c r="I598" s="64" t="s">
        <v>26</v>
      </c>
      <c r="J598" s="64" t="s">
        <v>21</v>
      </c>
      <c r="K598" s="64" t="s">
        <v>28</v>
      </c>
      <c r="L598" s="64">
        <v>3.3</v>
      </c>
      <c r="M598" s="66">
        <v>0.22076250266662603</v>
      </c>
      <c r="N598" s="64">
        <v>2600.02</v>
      </c>
      <c r="O598" s="64" t="s">
        <v>22</v>
      </c>
    </row>
    <row r="599" spans="1:15" x14ac:dyDescent="0.3">
      <c r="A599" s="64">
        <v>598</v>
      </c>
      <c r="B599" s="64">
        <v>6935</v>
      </c>
      <c r="C599" s="64" t="s">
        <v>29</v>
      </c>
      <c r="D599" s="64" t="s">
        <v>14</v>
      </c>
      <c r="E599" s="64">
        <v>16307</v>
      </c>
      <c r="F599" s="64">
        <v>1</v>
      </c>
      <c r="G599" s="64">
        <v>16307</v>
      </c>
      <c r="H599" s="65">
        <v>45388</v>
      </c>
      <c r="I599" s="64" t="s">
        <v>15</v>
      </c>
      <c r="J599" s="64" t="s">
        <v>27</v>
      </c>
      <c r="K599" s="64" t="s">
        <v>28</v>
      </c>
      <c r="L599" s="64">
        <v>3.5</v>
      </c>
      <c r="M599" s="66">
        <v>0.23878702397743301</v>
      </c>
      <c r="N599" s="64">
        <v>998.2</v>
      </c>
      <c r="O599" s="64" t="s">
        <v>22</v>
      </c>
    </row>
    <row r="600" spans="1:15" x14ac:dyDescent="0.3">
      <c r="A600" s="64">
        <v>599</v>
      </c>
      <c r="B600" s="64">
        <v>5802</v>
      </c>
      <c r="C600" s="64" t="s">
        <v>23</v>
      </c>
      <c r="D600" s="64" t="s">
        <v>20</v>
      </c>
      <c r="E600" s="64">
        <v>46051</v>
      </c>
      <c r="F600" s="64">
        <v>4</v>
      </c>
      <c r="G600" s="64">
        <v>184204</v>
      </c>
      <c r="H600" s="65">
        <v>45371</v>
      </c>
      <c r="I600" s="64" t="s">
        <v>30</v>
      </c>
      <c r="J600" s="64" t="s">
        <v>21</v>
      </c>
      <c r="K600" s="64" t="s">
        <v>17</v>
      </c>
      <c r="L600" s="64">
        <v>2.1</v>
      </c>
      <c r="M600" s="66">
        <v>0.14555823977763785</v>
      </c>
      <c r="N600" s="64">
        <v>28448.79</v>
      </c>
      <c r="O600" s="64" t="s">
        <v>22</v>
      </c>
    </row>
    <row r="601" spans="1:15" x14ac:dyDescent="0.3">
      <c r="A601" s="64">
        <v>600</v>
      </c>
      <c r="B601" s="64">
        <v>5374</v>
      </c>
      <c r="C601" s="64" t="s">
        <v>34</v>
      </c>
      <c r="D601" s="64" t="s">
        <v>14</v>
      </c>
      <c r="E601" s="64">
        <v>5947</v>
      </c>
      <c r="F601" s="64">
        <v>2</v>
      </c>
      <c r="G601" s="64">
        <v>11894</v>
      </c>
      <c r="H601" s="65">
        <v>45315</v>
      </c>
      <c r="I601" s="64" t="s">
        <v>26</v>
      </c>
      <c r="J601" s="64" t="s">
        <v>35</v>
      </c>
      <c r="K601" s="64" t="s">
        <v>17</v>
      </c>
      <c r="L601" s="64">
        <v>2</v>
      </c>
      <c r="M601" s="66">
        <v>0.27853035143769972</v>
      </c>
      <c r="N601" s="64">
        <v>255.36</v>
      </c>
      <c r="O601" s="64" t="s">
        <v>18</v>
      </c>
    </row>
    <row r="602" spans="1:15" x14ac:dyDescent="0.3">
      <c r="A602" s="64">
        <v>601</v>
      </c>
      <c r="B602" s="64">
        <v>8350</v>
      </c>
      <c r="C602" s="64" t="s">
        <v>29</v>
      </c>
      <c r="D602" s="64" t="s">
        <v>25</v>
      </c>
      <c r="E602" s="64">
        <v>2936</v>
      </c>
      <c r="F602" s="64">
        <v>5</v>
      </c>
      <c r="G602" s="64">
        <v>14680</v>
      </c>
      <c r="H602" s="65">
        <v>45555</v>
      </c>
      <c r="I602" s="64" t="s">
        <v>15</v>
      </c>
      <c r="J602" s="64" t="s">
        <v>35</v>
      </c>
      <c r="K602" s="64" t="s">
        <v>24</v>
      </c>
      <c r="L602" s="64">
        <v>1.1000000000000001</v>
      </c>
      <c r="M602" s="66">
        <v>0.25477043596730248</v>
      </c>
      <c r="N602" s="64">
        <v>663.97</v>
      </c>
      <c r="O602" s="64" t="s">
        <v>18</v>
      </c>
    </row>
    <row r="603" spans="1:15" x14ac:dyDescent="0.3">
      <c r="A603" s="64">
        <v>602</v>
      </c>
      <c r="B603" s="64">
        <v>5449</v>
      </c>
      <c r="C603" s="64" t="s">
        <v>13</v>
      </c>
      <c r="D603" s="64" t="s">
        <v>14</v>
      </c>
      <c r="E603" s="64">
        <v>26160</v>
      </c>
      <c r="F603" s="64">
        <v>1</v>
      </c>
      <c r="G603" s="64">
        <v>26160</v>
      </c>
      <c r="H603" s="65">
        <v>45650</v>
      </c>
      <c r="I603" s="64" t="s">
        <v>30</v>
      </c>
      <c r="J603" s="64" t="s">
        <v>21</v>
      </c>
      <c r="K603" s="64" t="s">
        <v>24</v>
      </c>
      <c r="L603" s="64">
        <v>2.5</v>
      </c>
      <c r="M603" s="66">
        <v>0.26643195718654433</v>
      </c>
      <c r="N603" s="64">
        <v>878.14</v>
      </c>
      <c r="O603" s="64" t="s">
        <v>22</v>
      </c>
    </row>
    <row r="604" spans="1:15" x14ac:dyDescent="0.3">
      <c r="A604" s="64">
        <v>603</v>
      </c>
      <c r="B604" s="64">
        <v>3594</v>
      </c>
      <c r="C604" s="64" t="s">
        <v>13</v>
      </c>
      <c r="D604" s="64" t="s">
        <v>14</v>
      </c>
      <c r="E604" s="64">
        <v>48286</v>
      </c>
      <c r="F604" s="64">
        <v>2</v>
      </c>
      <c r="G604" s="64">
        <v>96572</v>
      </c>
      <c r="H604" s="65">
        <v>45393</v>
      </c>
      <c r="I604" s="64" t="s">
        <v>26</v>
      </c>
      <c r="J604" s="64" t="s">
        <v>16</v>
      </c>
      <c r="K604" s="64" t="s">
        <v>17</v>
      </c>
      <c r="L604" s="64">
        <v>3.1</v>
      </c>
      <c r="M604" s="66">
        <v>0.24174843639978463</v>
      </c>
      <c r="N604" s="64">
        <v>5625.47</v>
      </c>
      <c r="O604" s="64" t="s">
        <v>18</v>
      </c>
    </row>
    <row r="605" spans="1:15" x14ac:dyDescent="0.3">
      <c r="A605" s="64">
        <v>604</v>
      </c>
      <c r="B605" s="64">
        <v>8025</v>
      </c>
      <c r="C605" s="64" t="s">
        <v>34</v>
      </c>
      <c r="D605" s="64" t="s">
        <v>25</v>
      </c>
      <c r="E605" s="64">
        <v>46668</v>
      </c>
      <c r="F605" s="64">
        <v>5</v>
      </c>
      <c r="G605" s="64">
        <v>233340</v>
      </c>
      <c r="H605" s="65">
        <v>45596</v>
      </c>
      <c r="I605" s="64" t="s">
        <v>33</v>
      </c>
      <c r="J605" s="64" t="s">
        <v>31</v>
      </c>
      <c r="K605" s="64" t="s">
        <v>28</v>
      </c>
      <c r="L605" s="64">
        <v>3.3</v>
      </c>
      <c r="M605" s="66">
        <v>0.2478748607182652</v>
      </c>
      <c r="N605" s="64">
        <v>12162.88</v>
      </c>
      <c r="O605" s="64" t="s">
        <v>22</v>
      </c>
    </row>
    <row r="606" spans="1:15" x14ac:dyDescent="0.3">
      <c r="A606" s="64">
        <v>605</v>
      </c>
      <c r="B606" s="64">
        <v>7599</v>
      </c>
      <c r="C606" s="64" t="s">
        <v>19</v>
      </c>
      <c r="D606" s="64" t="s">
        <v>25</v>
      </c>
      <c r="E606" s="64">
        <v>40529</v>
      </c>
      <c r="F606" s="64">
        <v>3</v>
      </c>
      <c r="G606" s="64">
        <v>121587</v>
      </c>
      <c r="H606" s="65">
        <v>45531</v>
      </c>
      <c r="I606" s="64" t="s">
        <v>15</v>
      </c>
      <c r="J606" s="64" t="s">
        <v>16</v>
      </c>
      <c r="K606" s="64" t="s">
        <v>24</v>
      </c>
      <c r="L606" s="64">
        <v>4.3</v>
      </c>
      <c r="M606" s="66">
        <v>8.7506147861202269E-2</v>
      </c>
      <c r="N606" s="64">
        <v>25836.49</v>
      </c>
      <c r="O606" s="64" t="s">
        <v>22</v>
      </c>
    </row>
    <row r="607" spans="1:15" x14ac:dyDescent="0.3">
      <c r="A607" s="64">
        <v>606</v>
      </c>
      <c r="B607" s="64">
        <v>2848</v>
      </c>
      <c r="C607" s="64" t="s">
        <v>23</v>
      </c>
      <c r="D607" s="64" t="s">
        <v>25</v>
      </c>
      <c r="E607" s="64">
        <v>27032</v>
      </c>
      <c r="F607" s="64">
        <v>2</v>
      </c>
      <c r="G607" s="64">
        <v>54064</v>
      </c>
      <c r="H607" s="65">
        <v>45363</v>
      </c>
      <c r="I607" s="64" t="s">
        <v>33</v>
      </c>
      <c r="J607" s="64" t="s">
        <v>35</v>
      </c>
      <c r="K607" s="64" t="s">
        <v>17</v>
      </c>
      <c r="L607" s="64">
        <v>3.2</v>
      </c>
      <c r="M607" s="66">
        <v>0.22755068067475584</v>
      </c>
      <c r="N607" s="64">
        <v>3916.9</v>
      </c>
      <c r="O607" s="64" t="s">
        <v>18</v>
      </c>
    </row>
    <row r="608" spans="1:15" x14ac:dyDescent="0.3">
      <c r="A608" s="64">
        <v>607</v>
      </c>
      <c r="B608" s="64">
        <v>9711</v>
      </c>
      <c r="C608" s="64" t="s">
        <v>32</v>
      </c>
      <c r="D608" s="64" t="s">
        <v>14</v>
      </c>
      <c r="E608" s="64">
        <v>22554</v>
      </c>
      <c r="F608" s="64">
        <v>5</v>
      </c>
      <c r="G608" s="64">
        <v>112770</v>
      </c>
      <c r="H608" s="65">
        <v>45327</v>
      </c>
      <c r="I608" s="64" t="s">
        <v>15</v>
      </c>
      <c r="J608" s="64" t="s">
        <v>16</v>
      </c>
      <c r="K608" s="64" t="s">
        <v>28</v>
      </c>
      <c r="L608" s="64">
        <v>5</v>
      </c>
      <c r="M608" s="66">
        <v>0.27616431675090891</v>
      </c>
      <c r="N608" s="64">
        <v>2687.95</v>
      </c>
      <c r="O608" s="64" t="s">
        <v>18</v>
      </c>
    </row>
    <row r="609" spans="1:15" x14ac:dyDescent="0.3">
      <c r="A609" s="64">
        <v>608</v>
      </c>
      <c r="B609" s="64">
        <v>5473</v>
      </c>
      <c r="C609" s="64" t="s">
        <v>34</v>
      </c>
      <c r="D609" s="64" t="s">
        <v>14</v>
      </c>
      <c r="E609" s="64">
        <v>46091</v>
      </c>
      <c r="F609" s="64">
        <v>5</v>
      </c>
      <c r="G609" s="64">
        <v>230455</v>
      </c>
      <c r="H609" s="65">
        <v>45498</v>
      </c>
      <c r="I609" s="64" t="s">
        <v>26</v>
      </c>
      <c r="J609" s="64" t="s">
        <v>16</v>
      </c>
      <c r="K609" s="64" t="s">
        <v>17</v>
      </c>
      <c r="L609" s="64">
        <v>3.2</v>
      </c>
      <c r="M609" s="66">
        <v>0.22160577987025668</v>
      </c>
      <c r="N609" s="64">
        <v>18066.34</v>
      </c>
      <c r="O609" s="64" t="s">
        <v>22</v>
      </c>
    </row>
    <row r="610" spans="1:15" x14ac:dyDescent="0.3">
      <c r="A610" s="64">
        <v>609</v>
      </c>
      <c r="B610" s="64">
        <v>5644</v>
      </c>
      <c r="C610" s="64" t="s">
        <v>32</v>
      </c>
      <c r="D610" s="64" t="s">
        <v>25</v>
      </c>
      <c r="E610" s="64">
        <v>41325</v>
      </c>
      <c r="F610" s="64">
        <v>2</v>
      </c>
      <c r="G610" s="64">
        <v>82650</v>
      </c>
      <c r="H610" s="65">
        <v>45513</v>
      </c>
      <c r="I610" s="64" t="s">
        <v>30</v>
      </c>
      <c r="J610" s="64" t="s">
        <v>35</v>
      </c>
      <c r="K610" s="64" t="s">
        <v>28</v>
      </c>
      <c r="L610" s="64">
        <v>3.9</v>
      </c>
      <c r="M610" s="66">
        <v>0.29565916515426499</v>
      </c>
      <c r="N610" s="64">
        <v>358.77</v>
      </c>
      <c r="O610" s="64" t="s">
        <v>18</v>
      </c>
    </row>
    <row r="611" spans="1:15" x14ac:dyDescent="0.3">
      <c r="A611" s="64">
        <v>610</v>
      </c>
      <c r="B611" s="64">
        <v>2272</v>
      </c>
      <c r="C611" s="64" t="s">
        <v>29</v>
      </c>
      <c r="D611" s="64" t="s">
        <v>14</v>
      </c>
      <c r="E611" s="64">
        <v>38144</v>
      </c>
      <c r="F611" s="64">
        <v>3</v>
      </c>
      <c r="G611" s="64">
        <v>114432</v>
      </c>
      <c r="H611" s="65">
        <v>45325</v>
      </c>
      <c r="I611" s="64" t="s">
        <v>26</v>
      </c>
      <c r="J611" s="64" t="s">
        <v>35</v>
      </c>
      <c r="K611" s="64" t="s">
        <v>17</v>
      </c>
      <c r="L611" s="64">
        <v>2.9</v>
      </c>
      <c r="M611" s="66">
        <v>0.11553603887024609</v>
      </c>
      <c r="N611" s="64">
        <v>21108.58</v>
      </c>
      <c r="O611" s="64" t="s">
        <v>22</v>
      </c>
    </row>
    <row r="612" spans="1:15" x14ac:dyDescent="0.3">
      <c r="A612" s="64">
        <v>611</v>
      </c>
      <c r="B612" s="64">
        <v>9366</v>
      </c>
      <c r="C612" s="64" t="s">
        <v>34</v>
      </c>
      <c r="D612" s="64" t="s">
        <v>14</v>
      </c>
      <c r="E612" s="64">
        <v>35700</v>
      </c>
      <c r="F612" s="64">
        <v>1</v>
      </c>
      <c r="G612" s="64">
        <v>35700</v>
      </c>
      <c r="H612" s="65">
        <v>45651</v>
      </c>
      <c r="I612" s="64" t="s">
        <v>15</v>
      </c>
      <c r="J612" s="64" t="s">
        <v>16</v>
      </c>
      <c r="K612" s="64" t="s">
        <v>24</v>
      </c>
      <c r="L612" s="64">
        <v>2.2999999999999998</v>
      </c>
      <c r="M612" s="66">
        <v>0.17394817927170869</v>
      </c>
      <c r="N612" s="64">
        <v>4500.05</v>
      </c>
      <c r="O612" s="64" t="s">
        <v>22</v>
      </c>
    </row>
    <row r="613" spans="1:15" x14ac:dyDescent="0.3">
      <c r="A613" s="64">
        <v>612</v>
      </c>
      <c r="B613" s="64">
        <v>7559</v>
      </c>
      <c r="C613" s="64" t="s">
        <v>29</v>
      </c>
      <c r="D613" s="64" t="s">
        <v>20</v>
      </c>
      <c r="E613" s="64">
        <v>30943</v>
      </c>
      <c r="F613" s="64">
        <v>5</v>
      </c>
      <c r="G613" s="64">
        <v>154715</v>
      </c>
      <c r="H613" s="65">
        <v>45420</v>
      </c>
      <c r="I613" s="64" t="s">
        <v>33</v>
      </c>
      <c r="J613" s="64" t="s">
        <v>27</v>
      </c>
      <c r="K613" s="64" t="s">
        <v>24</v>
      </c>
      <c r="L613" s="64">
        <v>1.1000000000000001</v>
      </c>
      <c r="M613" s="66">
        <v>0.19460614678602592</v>
      </c>
      <c r="N613" s="64">
        <v>16306.01</v>
      </c>
      <c r="O613" s="64" t="s">
        <v>18</v>
      </c>
    </row>
    <row r="614" spans="1:15" x14ac:dyDescent="0.3">
      <c r="A614" s="64">
        <v>613</v>
      </c>
      <c r="B614" s="64">
        <v>6669</v>
      </c>
      <c r="C614" s="64" t="s">
        <v>32</v>
      </c>
      <c r="D614" s="64" t="s">
        <v>20</v>
      </c>
      <c r="E614" s="64">
        <v>5461</v>
      </c>
      <c r="F614" s="64">
        <v>1</v>
      </c>
      <c r="G614" s="64">
        <v>5461</v>
      </c>
      <c r="H614" s="65">
        <v>45429</v>
      </c>
      <c r="I614" s="64" t="s">
        <v>33</v>
      </c>
      <c r="J614" s="64" t="s">
        <v>21</v>
      </c>
      <c r="K614" s="64" t="s">
        <v>24</v>
      </c>
      <c r="L614" s="64">
        <v>2.2999999999999998</v>
      </c>
      <c r="M614" s="66">
        <v>7.9249221754257457E-2</v>
      </c>
      <c r="N614" s="64">
        <v>1205.52</v>
      </c>
      <c r="O614" s="64" t="s">
        <v>22</v>
      </c>
    </row>
    <row r="615" spans="1:15" x14ac:dyDescent="0.3">
      <c r="A615" s="64">
        <v>614</v>
      </c>
      <c r="B615" s="64">
        <v>9661</v>
      </c>
      <c r="C615" s="64" t="s">
        <v>13</v>
      </c>
      <c r="D615" s="64" t="s">
        <v>14</v>
      </c>
      <c r="E615" s="64">
        <v>37130</v>
      </c>
      <c r="F615" s="64">
        <v>2</v>
      </c>
      <c r="G615" s="64">
        <v>74260</v>
      </c>
      <c r="H615" s="65">
        <v>45630</v>
      </c>
      <c r="I615" s="64" t="s">
        <v>30</v>
      </c>
      <c r="J615" s="64" t="s">
        <v>31</v>
      </c>
      <c r="K615" s="64" t="s">
        <v>17</v>
      </c>
      <c r="L615" s="64">
        <v>2</v>
      </c>
      <c r="M615" s="66">
        <v>6.2879746835443034E-2</v>
      </c>
      <c r="N615" s="64">
        <v>17608.55</v>
      </c>
      <c r="O615" s="64" t="s">
        <v>18</v>
      </c>
    </row>
    <row r="616" spans="1:15" x14ac:dyDescent="0.3">
      <c r="A616" s="64">
        <v>615</v>
      </c>
      <c r="B616" s="64">
        <v>2224</v>
      </c>
      <c r="C616" s="64" t="s">
        <v>34</v>
      </c>
      <c r="D616" s="64" t="s">
        <v>25</v>
      </c>
      <c r="E616" s="64">
        <v>29752</v>
      </c>
      <c r="F616" s="64">
        <v>2</v>
      </c>
      <c r="G616" s="64">
        <v>59504</v>
      </c>
      <c r="H616" s="65">
        <v>45462</v>
      </c>
      <c r="I616" s="64" t="s">
        <v>30</v>
      </c>
      <c r="J616" s="64" t="s">
        <v>35</v>
      </c>
      <c r="K616" s="64" t="s">
        <v>17</v>
      </c>
      <c r="L616" s="64">
        <v>2.9</v>
      </c>
      <c r="M616" s="66">
        <v>0.21805609706910459</v>
      </c>
      <c r="N616" s="64">
        <v>4875.99</v>
      </c>
      <c r="O616" s="64" t="s">
        <v>18</v>
      </c>
    </row>
    <row r="617" spans="1:15" x14ac:dyDescent="0.3">
      <c r="A617" s="64">
        <v>616</v>
      </c>
      <c r="B617" s="64">
        <v>9389</v>
      </c>
      <c r="C617" s="64" t="s">
        <v>34</v>
      </c>
      <c r="D617" s="64" t="s">
        <v>14</v>
      </c>
      <c r="E617" s="64">
        <v>41823</v>
      </c>
      <c r="F617" s="64">
        <v>5</v>
      </c>
      <c r="G617" s="64">
        <v>209115</v>
      </c>
      <c r="H617" s="65">
        <v>45579</v>
      </c>
      <c r="I617" s="64" t="s">
        <v>30</v>
      </c>
      <c r="J617" s="64" t="s">
        <v>35</v>
      </c>
      <c r="K617" s="64" t="s">
        <v>17</v>
      </c>
      <c r="L617" s="64">
        <v>1.9</v>
      </c>
      <c r="M617" s="66">
        <v>0.27617794036774024</v>
      </c>
      <c r="N617" s="64">
        <v>4981.55</v>
      </c>
      <c r="O617" s="64" t="s">
        <v>18</v>
      </c>
    </row>
    <row r="618" spans="1:15" x14ac:dyDescent="0.3">
      <c r="A618" s="64">
        <v>617</v>
      </c>
      <c r="B618" s="64">
        <v>2978</v>
      </c>
      <c r="C618" s="64" t="s">
        <v>13</v>
      </c>
      <c r="D618" s="64" t="s">
        <v>14</v>
      </c>
      <c r="E618" s="64">
        <v>28323</v>
      </c>
      <c r="F618" s="64">
        <v>1</v>
      </c>
      <c r="G618" s="64">
        <v>28323</v>
      </c>
      <c r="H618" s="65">
        <v>45373</v>
      </c>
      <c r="I618" s="64" t="s">
        <v>15</v>
      </c>
      <c r="J618" s="64" t="s">
        <v>16</v>
      </c>
      <c r="K618" s="64" t="s">
        <v>17</v>
      </c>
      <c r="L618" s="64">
        <v>3.2</v>
      </c>
      <c r="M618" s="66">
        <v>0.2201938353987925</v>
      </c>
      <c r="N618" s="64">
        <v>2260.35</v>
      </c>
      <c r="O618" s="64" t="s">
        <v>18</v>
      </c>
    </row>
    <row r="619" spans="1:15" x14ac:dyDescent="0.3">
      <c r="A619" s="64">
        <v>618</v>
      </c>
      <c r="B619" s="64">
        <v>3870</v>
      </c>
      <c r="C619" s="64" t="s">
        <v>23</v>
      </c>
      <c r="D619" s="64" t="s">
        <v>25</v>
      </c>
      <c r="E619" s="64">
        <v>38199</v>
      </c>
      <c r="F619" s="64">
        <v>1</v>
      </c>
      <c r="G619" s="64">
        <v>38199</v>
      </c>
      <c r="H619" s="65">
        <v>45351</v>
      </c>
      <c r="I619" s="64" t="s">
        <v>33</v>
      </c>
      <c r="J619" s="64" t="s">
        <v>16</v>
      </c>
      <c r="K619" s="64" t="s">
        <v>17</v>
      </c>
      <c r="L619" s="64">
        <v>4.7</v>
      </c>
      <c r="M619" s="66">
        <v>0.23462420482211577</v>
      </c>
      <c r="N619" s="64">
        <v>2497.29</v>
      </c>
      <c r="O619" s="64" t="s">
        <v>18</v>
      </c>
    </row>
    <row r="620" spans="1:15" x14ac:dyDescent="0.3">
      <c r="A620" s="64">
        <v>619</v>
      </c>
      <c r="B620" s="64">
        <v>4444</v>
      </c>
      <c r="C620" s="64" t="s">
        <v>29</v>
      </c>
      <c r="D620" s="64" t="s">
        <v>20</v>
      </c>
      <c r="E620" s="64">
        <v>16291</v>
      </c>
      <c r="F620" s="64">
        <v>5</v>
      </c>
      <c r="G620" s="64">
        <v>81455</v>
      </c>
      <c r="H620" s="65">
        <v>45315</v>
      </c>
      <c r="I620" s="64" t="s">
        <v>26</v>
      </c>
      <c r="J620" s="64" t="s">
        <v>21</v>
      </c>
      <c r="K620" s="64" t="s">
        <v>28</v>
      </c>
      <c r="L620" s="64">
        <v>3.5</v>
      </c>
      <c r="M620" s="66">
        <v>0.14257049904855443</v>
      </c>
      <c r="N620" s="64">
        <v>12823.42</v>
      </c>
      <c r="O620" s="64" t="s">
        <v>22</v>
      </c>
    </row>
    <row r="621" spans="1:15" x14ac:dyDescent="0.3">
      <c r="A621" s="64">
        <v>620</v>
      </c>
      <c r="B621" s="64">
        <v>1075</v>
      </c>
      <c r="C621" s="64" t="s">
        <v>19</v>
      </c>
      <c r="D621" s="64" t="s">
        <v>25</v>
      </c>
      <c r="E621" s="64">
        <v>9168</v>
      </c>
      <c r="F621" s="64">
        <v>4</v>
      </c>
      <c r="G621" s="64">
        <v>36672</v>
      </c>
      <c r="H621" s="65">
        <v>45397</v>
      </c>
      <c r="I621" s="64" t="s">
        <v>26</v>
      </c>
      <c r="J621" s="64" t="s">
        <v>35</v>
      </c>
      <c r="K621" s="64" t="s">
        <v>17</v>
      </c>
      <c r="L621" s="64">
        <v>2.5</v>
      </c>
      <c r="M621" s="66">
        <v>8.9180846422338575E-2</v>
      </c>
      <c r="N621" s="64">
        <v>7731.16</v>
      </c>
      <c r="O621" s="64" t="s">
        <v>18</v>
      </c>
    </row>
    <row r="622" spans="1:15" x14ac:dyDescent="0.3">
      <c r="A622" s="64">
        <v>621</v>
      </c>
      <c r="B622" s="64">
        <v>5000</v>
      </c>
      <c r="C622" s="64" t="s">
        <v>32</v>
      </c>
      <c r="D622" s="64" t="s">
        <v>25</v>
      </c>
      <c r="E622" s="64">
        <v>28683</v>
      </c>
      <c r="F622" s="64">
        <v>3</v>
      </c>
      <c r="G622" s="64">
        <v>86049</v>
      </c>
      <c r="H622" s="65">
        <v>45421</v>
      </c>
      <c r="I622" s="64" t="s">
        <v>26</v>
      </c>
      <c r="J622" s="64" t="s">
        <v>21</v>
      </c>
      <c r="K622" s="64" t="s">
        <v>24</v>
      </c>
      <c r="L622" s="64">
        <v>4.4000000000000004</v>
      </c>
      <c r="M622" s="66">
        <v>0.28570977001475906</v>
      </c>
      <c r="N622" s="64">
        <v>1229.6600000000001</v>
      </c>
      <c r="O622" s="64" t="s">
        <v>22</v>
      </c>
    </row>
    <row r="623" spans="1:15" x14ac:dyDescent="0.3">
      <c r="A623" s="64">
        <v>622</v>
      </c>
      <c r="B623" s="64">
        <v>7490</v>
      </c>
      <c r="C623" s="64" t="s">
        <v>32</v>
      </c>
      <c r="D623" s="64" t="s">
        <v>14</v>
      </c>
      <c r="E623" s="64">
        <v>47553</v>
      </c>
      <c r="F623" s="64">
        <v>3</v>
      </c>
      <c r="G623" s="64">
        <v>142659</v>
      </c>
      <c r="H623" s="65">
        <v>45602</v>
      </c>
      <c r="I623" s="64" t="s">
        <v>30</v>
      </c>
      <c r="J623" s="64" t="s">
        <v>21</v>
      </c>
      <c r="K623" s="64" t="s">
        <v>24</v>
      </c>
      <c r="L623" s="64">
        <v>3.9</v>
      </c>
      <c r="M623" s="66">
        <v>0.17460384553375533</v>
      </c>
      <c r="N623" s="64">
        <v>17888.89</v>
      </c>
      <c r="O623" s="64" t="s">
        <v>18</v>
      </c>
    </row>
    <row r="624" spans="1:15" x14ac:dyDescent="0.3">
      <c r="A624" s="64">
        <v>623</v>
      </c>
      <c r="B624" s="64">
        <v>5332</v>
      </c>
      <c r="C624" s="64" t="s">
        <v>32</v>
      </c>
      <c r="D624" s="64" t="s">
        <v>20</v>
      </c>
      <c r="E624" s="64">
        <v>19678</v>
      </c>
      <c r="F624" s="64">
        <v>1</v>
      </c>
      <c r="G624" s="64">
        <v>19678</v>
      </c>
      <c r="H624" s="65">
        <v>45639</v>
      </c>
      <c r="I624" s="64" t="s">
        <v>30</v>
      </c>
      <c r="J624" s="64" t="s">
        <v>31</v>
      </c>
      <c r="K624" s="64" t="s">
        <v>24</v>
      </c>
      <c r="L624" s="64">
        <v>2.2999999999999998</v>
      </c>
      <c r="M624" s="66">
        <v>0.237982518548633</v>
      </c>
      <c r="N624" s="64">
        <v>1220.3800000000001</v>
      </c>
      <c r="O624" s="64" t="s">
        <v>18</v>
      </c>
    </row>
    <row r="625" spans="1:15" x14ac:dyDescent="0.3">
      <c r="A625" s="64">
        <v>624</v>
      </c>
      <c r="B625" s="64">
        <v>5138</v>
      </c>
      <c r="C625" s="64" t="s">
        <v>34</v>
      </c>
      <c r="D625" s="64" t="s">
        <v>14</v>
      </c>
      <c r="E625" s="64">
        <v>14812</v>
      </c>
      <c r="F625" s="64">
        <v>3</v>
      </c>
      <c r="G625" s="64">
        <v>44436</v>
      </c>
      <c r="H625" s="65">
        <v>45431</v>
      </c>
      <c r="I625" s="64" t="s">
        <v>15</v>
      </c>
      <c r="J625" s="64" t="s">
        <v>27</v>
      </c>
      <c r="K625" s="64" t="s">
        <v>17</v>
      </c>
      <c r="L625" s="64">
        <v>4.2</v>
      </c>
      <c r="M625" s="66">
        <v>6.0196687370600417E-2</v>
      </c>
      <c r="N625" s="64">
        <v>10655.9</v>
      </c>
      <c r="O625" s="64" t="s">
        <v>18</v>
      </c>
    </row>
    <row r="626" spans="1:15" x14ac:dyDescent="0.3">
      <c r="A626" s="64">
        <v>625</v>
      </c>
      <c r="B626" s="64">
        <v>2615</v>
      </c>
      <c r="C626" s="64" t="s">
        <v>29</v>
      </c>
      <c r="D626" s="64" t="s">
        <v>25</v>
      </c>
      <c r="E626" s="64">
        <v>39092</v>
      </c>
      <c r="F626" s="64">
        <v>5</v>
      </c>
      <c r="G626" s="64">
        <v>195460</v>
      </c>
      <c r="H626" s="65">
        <v>45377</v>
      </c>
      <c r="I626" s="64" t="s">
        <v>33</v>
      </c>
      <c r="J626" s="64" t="s">
        <v>27</v>
      </c>
      <c r="K626" s="64" t="s">
        <v>17</v>
      </c>
      <c r="L626" s="64">
        <v>3.2</v>
      </c>
      <c r="M626" s="66">
        <v>0.19562892663460554</v>
      </c>
      <c r="N626" s="64">
        <v>20400.37</v>
      </c>
      <c r="O626" s="64" t="s">
        <v>18</v>
      </c>
    </row>
    <row r="627" spans="1:15" x14ac:dyDescent="0.3">
      <c r="A627" s="64">
        <v>626</v>
      </c>
      <c r="B627" s="64">
        <v>8773</v>
      </c>
      <c r="C627" s="64" t="s">
        <v>29</v>
      </c>
      <c r="D627" s="64" t="s">
        <v>20</v>
      </c>
      <c r="E627" s="64">
        <v>11608</v>
      </c>
      <c r="F627" s="64">
        <v>2</v>
      </c>
      <c r="G627" s="64">
        <v>23216</v>
      </c>
      <c r="H627" s="65">
        <v>45547</v>
      </c>
      <c r="I627" s="64" t="s">
        <v>33</v>
      </c>
      <c r="J627" s="64" t="s">
        <v>16</v>
      </c>
      <c r="K627" s="64" t="s">
        <v>24</v>
      </c>
      <c r="L627" s="64">
        <v>4.5</v>
      </c>
      <c r="M627" s="66">
        <v>0.29946545485871812</v>
      </c>
      <c r="N627" s="64">
        <v>12.41</v>
      </c>
      <c r="O627" s="64" t="s">
        <v>18</v>
      </c>
    </row>
    <row r="628" spans="1:15" x14ac:dyDescent="0.3">
      <c r="A628" s="64">
        <v>627</v>
      </c>
      <c r="B628" s="64">
        <v>8783</v>
      </c>
      <c r="C628" s="64" t="s">
        <v>13</v>
      </c>
      <c r="D628" s="64" t="s">
        <v>20</v>
      </c>
      <c r="E628" s="64">
        <v>47832</v>
      </c>
      <c r="F628" s="64">
        <v>5</v>
      </c>
      <c r="G628" s="64">
        <v>239160</v>
      </c>
      <c r="H628" s="65">
        <v>45537</v>
      </c>
      <c r="I628" s="64" t="s">
        <v>30</v>
      </c>
      <c r="J628" s="64" t="s">
        <v>21</v>
      </c>
      <c r="K628" s="64" t="s">
        <v>17</v>
      </c>
      <c r="L628" s="64">
        <v>2.7</v>
      </c>
      <c r="M628" s="66">
        <v>0.22035645592908512</v>
      </c>
      <c r="N628" s="64">
        <v>19047.55</v>
      </c>
      <c r="O628" s="64" t="s">
        <v>22</v>
      </c>
    </row>
    <row r="629" spans="1:15" x14ac:dyDescent="0.3">
      <c r="A629" s="64">
        <v>628</v>
      </c>
      <c r="B629" s="64">
        <v>4828</v>
      </c>
      <c r="C629" s="64" t="s">
        <v>34</v>
      </c>
      <c r="D629" s="64" t="s">
        <v>14</v>
      </c>
      <c r="E629" s="64">
        <v>37854</v>
      </c>
      <c r="F629" s="64">
        <v>1</v>
      </c>
      <c r="G629" s="64">
        <v>37854</v>
      </c>
      <c r="H629" s="65">
        <v>45581</v>
      </c>
      <c r="I629" s="64" t="s">
        <v>15</v>
      </c>
      <c r="J629" s="64" t="s">
        <v>16</v>
      </c>
      <c r="K629" s="64" t="s">
        <v>28</v>
      </c>
      <c r="L629" s="64">
        <v>1.4</v>
      </c>
      <c r="M629" s="66">
        <v>0.17431288635282929</v>
      </c>
      <c r="N629" s="64">
        <v>4757.76</v>
      </c>
      <c r="O629" s="64" t="s">
        <v>18</v>
      </c>
    </row>
    <row r="630" spans="1:15" x14ac:dyDescent="0.3">
      <c r="A630" s="64">
        <v>629</v>
      </c>
      <c r="B630" s="64">
        <v>6057</v>
      </c>
      <c r="C630" s="64" t="s">
        <v>19</v>
      </c>
      <c r="D630" s="64" t="s">
        <v>25</v>
      </c>
      <c r="E630" s="64">
        <v>38304</v>
      </c>
      <c r="F630" s="64">
        <v>1</v>
      </c>
      <c r="G630" s="64">
        <v>38304</v>
      </c>
      <c r="H630" s="65">
        <v>45569</v>
      </c>
      <c r="I630" s="64" t="s">
        <v>26</v>
      </c>
      <c r="J630" s="64" t="s">
        <v>16</v>
      </c>
      <c r="K630" s="64" t="s">
        <v>28</v>
      </c>
      <c r="L630" s="64">
        <v>4.7</v>
      </c>
      <c r="M630" s="66">
        <v>0.14490967000835422</v>
      </c>
      <c r="N630" s="64">
        <v>5940.58</v>
      </c>
      <c r="O630" s="64" t="s">
        <v>18</v>
      </c>
    </row>
    <row r="631" spans="1:15" x14ac:dyDescent="0.3">
      <c r="A631" s="64">
        <v>630</v>
      </c>
      <c r="B631" s="64">
        <v>9781</v>
      </c>
      <c r="C631" s="64" t="s">
        <v>13</v>
      </c>
      <c r="D631" s="64" t="s">
        <v>25</v>
      </c>
      <c r="E631" s="64">
        <v>12149</v>
      </c>
      <c r="F631" s="64">
        <v>2</v>
      </c>
      <c r="G631" s="64">
        <v>24298</v>
      </c>
      <c r="H631" s="65">
        <v>45632</v>
      </c>
      <c r="I631" s="64" t="s">
        <v>33</v>
      </c>
      <c r="J631" s="64" t="s">
        <v>21</v>
      </c>
      <c r="K631" s="64" t="s">
        <v>24</v>
      </c>
      <c r="L631" s="64">
        <v>3.7</v>
      </c>
      <c r="M631" s="66">
        <v>0.27356490246110793</v>
      </c>
      <c r="N631" s="64">
        <v>642.32000000000005</v>
      </c>
      <c r="O631" s="64" t="s">
        <v>18</v>
      </c>
    </row>
    <row r="632" spans="1:15" x14ac:dyDescent="0.3">
      <c r="A632" s="64">
        <v>631</v>
      </c>
      <c r="B632" s="64">
        <v>6555</v>
      </c>
      <c r="C632" s="64" t="s">
        <v>23</v>
      </c>
      <c r="D632" s="64" t="s">
        <v>20</v>
      </c>
      <c r="E632" s="64">
        <v>28450</v>
      </c>
      <c r="F632" s="64">
        <v>3</v>
      </c>
      <c r="G632" s="64">
        <v>85350</v>
      </c>
      <c r="H632" s="65">
        <v>45360</v>
      </c>
      <c r="I632" s="64" t="s">
        <v>33</v>
      </c>
      <c r="J632" s="64" t="s">
        <v>31</v>
      </c>
      <c r="K632" s="64" t="s">
        <v>28</v>
      </c>
      <c r="L632" s="64">
        <v>3.7</v>
      </c>
      <c r="M632" s="66">
        <v>0.2143768014059754</v>
      </c>
      <c r="N632" s="64">
        <v>7307.94</v>
      </c>
      <c r="O632" s="64" t="s">
        <v>18</v>
      </c>
    </row>
    <row r="633" spans="1:15" x14ac:dyDescent="0.3">
      <c r="A633" s="64">
        <v>632</v>
      </c>
      <c r="B633" s="64">
        <v>8322</v>
      </c>
      <c r="C633" s="64" t="s">
        <v>23</v>
      </c>
      <c r="D633" s="64" t="s">
        <v>25</v>
      </c>
      <c r="E633" s="64">
        <v>30946</v>
      </c>
      <c r="F633" s="64">
        <v>2</v>
      </c>
      <c r="G633" s="64">
        <v>61892</v>
      </c>
      <c r="H633" s="65">
        <v>45593</v>
      </c>
      <c r="I633" s="64" t="s">
        <v>26</v>
      </c>
      <c r="J633" s="64" t="s">
        <v>21</v>
      </c>
      <c r="K633" s="64" t="s">
        <v>28</v>
      </c>
      <c r="L633" s="64">
        <v>1.5</v>
      </c>
      <c r="M633" s="66">
        <v>0.13549230918373942</v>
      </c>
      <c r="N633" s="64">
        <v>10181.709999999999</v>
      </c>
      <c r="O633" s="64" t="s">
        <v>18</v>
      </c>
    </row>
    <row r="634" spans="1:15" x14ac:dyDescent="0.3">
      <c r="A634" s="64">
        <v>633</v>
      </c>
      <c r="B634" s="64">
        <v>6238</v>
      </c>
      <c r="C634" s="64" t="s">
        <v>13</v>
      </c>
      <c r="D634" s="64" t="s">
        <v>14</v>
      </c>
      <c r="E634" s="64">
        <v>4397</v>
      </c>
      <c r="F634" s="64">
        <v>5</v>
      </c>
      <c r="G634" s="64">
        <v>21985</v>
      </c>
      <c r="H634" s="65">
        <v>45547</v>
      </c>
      <c r="I634" s="64" t="s">
        <v>15</v>
      </c>
      <c r="J634" s="64" t="s">
        <v>16</v>
      </c>
      <c r="K634" s="64" t="s">
        <v>24</v>
      </c>
      <c r="L634" s="64">
        <v>3.8</v>
      </c>
      <c r="M634" s="66">
        <v>0.15068182851944506</v>
      </c>
      <c r="N634" s="64">
        <v>3282.76</v>
      </c>
      <c r="O634" s="64" t="s">
        <v>22</v>
      </c>
    </row>
    <row r="635" spans="1:15" x14ac:dyDescent="0.3">
      <c r="A635" s="64">
        <v>634</v>
      </c>
      <c r="B635" s="64">
        <v>7579</v>
      </c>
      <c r="C635" s="64" t="s">
        <v>13</v>
      </c>
      <c r="D635" s="64" t="s">
        <v>20</v>
      </c>
      <c r="E635" s="64">
        <v>24182</v>
      </c>
      <c r="F635" s="64">
        <v>5</v>
      </c>
      <c r="G635" s="64">
        <v>120910</v>
      </c>
      <c r="H635" s="65">
        <v>45467</v>
      </c>
      <c r="I635" s="64" t="s">
        <v>26</v>
      </c>
      <c r="J635" s="64" t="s">
        <v>16</v>
      </c>
      <c r="K635" s="64" t="s">
        <v>28</v>
      </c>
      <c r="L635" s="64">
        <v>4.0999999999999996</v>
      </c>
      <c r="M635" s="66">
        <v>6.0455462740881649E-2</v>
      </c>
      <c r="N635" s="64">
        <v>28963.33</v>
      </c>
      <c r="O635" s="64" t="s">
        <v>18</v>
      </c>
    </row>
    <row r="636" spans="1:15" x14ac:dyDescent="0.3">
      <c r="A636" s="64">
        <v>635</v>
      </c>
      <c r="B636" s="64">
        <v>4037</v>
      </c>
      <c r="C636" s="64" t="s">
        <v>29</v>
      </c>
      <c r="D636" s="64" t="s">
        <v>25</v>
      </c>
      <c r="E636" s="64">
        <v>34231</v>
      </c>
      <c r="F636" s="64">
        <v>5</v>
      </c>
      <c r="G636" s="64">
        <v>171155</v>
      </c>
      <c r="H636" s="65">
        <v>45336</v>
      </c>
      <c r="I636" s="64" t="s">
        <v>30</v>
      </c>
      <c r="J636" s="64" t="s">
        <v>16</v>
      </c>
      <c r="K636" s="64" t="s">
        <v>24</v>
      </c>
      <c r="L636" s="64">
        <v>1.9</v>
      </c>
      <c r="M636" s="66">
        <v>0.15072565802927171</v>
      </c>
      <c r="N636" s="64">
        <v>25549.05</v>
      </c>
      <c r="O636" s="64" t="s">
        <v>22</v>
      </c>
    </row>
    <row r="637" spans="1:15" x14ac:dyDescent="0.3">
      <c r="A637" s="64">
        <v>636</v>
      </c>
      <c r="B637" s="64">
        <v>5272</v>
      </c>
      <c r="C637" s="64" t="s">
        <v>13</v>
      </c>
      <c r="D637" s="64" t="s">
        <v>25</v>
      </c>
      <c r="E637" s="64">
        <v>29727</v>
      </c>
      <c r="F637" s="64">
        <v>3</v>
      </c>
      <c r="G637" s="64">
        <v>89181</v>
      </c>
      <c r="H637" s="65">
        <v>45578</v>
      </c>
      <c r="I637" s="64" t="s">
        <v>33</v>
      </c>
      <c r="J637" s="64" t="s">
        <v>16</v>
      </c>
      <c r="K637" s="64" t="s">
        <v>28</v>
      </c>
      <c r="L637" s="64">
        <v>3.8</v>
      </c>
      <c r="M637" s="66">
        <v>0.12837510232000091</v>
      </c>
      <c r="N637" s="64">
        <v>15305.68</v>
      </c>
      <c r="O637" s="64" t="s">
        <v>18</v>
      </c>
    </row>
    <row r="638" spans="1:15" x14ac:dyDescent="0.3">
      <c r="A638" s="64">
        <v>637</v>
      </c>
      <c r="B638" s="64">
        <v>8851</v>
      </c>
      <c r="C638" s="64" t="s">
        <v>23</v>
      </c>
      <c r="D638" s="64" t="s">
        <v>25</v>
      </c>
      <c r="E638" s="64">
        <v>23975</v>
      </c>
      <c r="F638" s="64">
        <v>2</v>
      </c>
      <c r="G638" s="64">
        <v>47950</v>
      </c>
      <c r="H638" s="65">
        <v>45603</v>
      </c>
      <c r="I638" s="64" t="s">
        <v>30</v>
      </c>
      <c r="J638" s="64" t="s">
        <v>31</v>
      </c>
      <c r="K638" s="64" t="s">
        <v>17</v>
      </c>
      <c r="L638" s="64">
        <v>3.8</v>
      </c>
      <c r="M638" s="66">
        <v>0.24691678832116787</v>
      </c>
      <c r="N638" s="64">
        <v>2545.34</v>
      </c>
      <c r="O638" s="64" t="s">
        <v>22</v>
      </c>
    </row>
    <row r="639" spans="1:15" x14ac:dyDescent="0.3">
      <c r="A639" s="64">
        <v>638</v>
      </c>
      <c r="B639" s="64">
        <v>5708</v>
      </c>
      <c r="C639" s="64" t="s">
        <v>23</v>
      </c>
      <c r="D639" s="64" t="s">
        <v>14</v>
      </c>
      <c r="E639" s="64">
        <v>3850</v>
      </c>
      <c r="F639" s="64">
        <v>1</v>
      </c>
      <c r="G639" s="64">
        <v>3850</v>
      </c>
      <c r="H639" s="65">
        <v>45329</v>
      </c>
      <c r="I639" s="64" t="s">
        <v>15</v>
      </c>
      <c r="J639" s="64" t="s">
        <v>31</v>
      </c>
      <c r="K639" s="64" t="s">
        <v>28</v>
      </c>
      <c r="L639" s="64">
        <v>1.5</v>
      </c>
      <c r="M639" s="66">
        <v>0.12631428571428571</v>
      </c>
      <c r="N639" s="64">
        <v>668.69</v>
      </c>
      <c r="O639" s="64" t="s">
        <v>22</v>
      </c>
    </row>
    <row r="640" spans="1:15" x14ac:dyDescent="0.3">
      <c r="A640" s="64">
        <v>639</v>
      </c>
      <c r="B640" s="64">
        <v>3830</v>
      </c>
      <c r="C640" s="64" t="s">
        <v>34</v>
      </c>
      <c r="D640" s="64" t="s">
        <v>14</v>
      </c>
      <c r="E640" s="64">
        <v>27090</v>
      </c>
      <c r="F640" s="64">
        <v>1</v>
      </c>
      <c r="G640" s="64">
        <v>27090</v>
      </c>
      <c r="H640" s="65">
        <v>45337</v>
      </c>
      <c r="I640" s="64" t="s">
        <v>30</v>
      </c>
      <c r="J640" s="64" t="s">
        <v>27</v>
      </c>
      <c r="K640" s="64" t="s">
        <v>28</v>
      </c>
      <c r="L640" s="64">
        <v>3.6</v>
      </c>
      <c r="M640" s="66">
        <v>0.2864422296050203</v>
      </c>
      <c r="N640" s="64">
        <v>367.28</v>
      </c>
      <c r="O640" s="64" t="s">
        <v>18</v>
      </c>
    </row>
    <row r="641" spans="1:15" x14ac:dyDescent="0.3">
      <c r="A641" s="64">
        <v>640</v>
      </c>
      <c r="B641" s="64">
        <v>8912</v>
      </c>
      <c r="C641" s="64" t="s">
        <v>13</v>
      </c>
      <c r="D641" s="64" t="s">
        <v>25</v>
      </c>
      <c r="E641" s="64">
        <v>9585</v>
      </c>
      <c r="F641" s="64">
        <v>5</v>
      </c>
      <c r="G641" s="64">
        <v>47925</v>
      </c>
      <c r="H641" s="65">
        <v>45353</v>
      </c>
      <c r="I641" s="64" t="s">
        <v>30</v>
      </c>
      <c r="J641" s="64" t="s">
        <v>21</v>
      </c>
      <c r="K641" s="64" t="s">
        <v>17</v>
      </c>
      <c r="L641" s="64">
        <v>2</v>
      </c>
      <c r="M641" s="66">
        <v>0.18324110589462703</v>
      </c>
      <c r="N641" s="64">
        <v>5595.67</v>
      </c>
      <c r="O641" s="64" t="s">
        <v>18</v>
      </c>
    </row>
    <row r="642" spans="1:15" x14ac:dyDescent="0.3">
      <c r="A642" s="64">
        <v>641</v>
      </c>
      <c r="B642" s="64">
        <v>8133</v>
      </c>
      <c r="C642" s="64" t="s">
        <v>29</v>
      </c>
      <c r="D642" s="64" t="s">
        <v>25</v>
      </c>
      <c r="E642" s="64">
        <v>33103</v>
      </c>
      <c r="F642" s="64">
        <v>2</v>
      </c>
      <c r="G642" s="64">
        <v>66206</v>
      </c>
      <c r="H642" s="65">
        <v>45395</v>
      </c>
      <c r="I642" s="64" t="s">
        <v>30</v>
      </c>
      <c r="J642" s="64" t="s">
        <v>27</v>
      </c>
      <c r="K642" s="64" t="s">
        <v>28</v>
      </c>
      <c r="L642" s="64">
        <v>3.9</v>
      </c>
      <c r="M642" s="66">
        <v>0.29622738120412045</v>
      </c>
      <c r="N642" s="64">
        <v>249.77</v>
      </c>
      <c r="O642" s="64" t="s">
        <v>22</v>
      </c>
    </row>
    <row r="643" spans="1:15" x14ac:dyDescent="0.3">
      <c r="A643" s="64">
        <v>642</v>
      </c>
      <c r="B643" s="64">
        <v>5080</v>
      </c>
      <c r="C643" s="64" t="s">
        <v>32</v>
      </c>
      <c r="D643" s="64" t="s">
        <v>20</v>
      </c>
      <c r="E643" s="64">
        <v>39180</v>
      </c>
      <c r="F643" s="64">
        <v>5</v>
      </c>
      <c r="G643" s="64">
        <v>195900</v>
      </c>
      <c r="H643" s="65">
        <v>45364</v>
      </c>
      <c r="I643" s="64" t="s">
        <v>33</v>
      </c>
      <c r="J643" s="64" t="s">
        <v>21</v>
      </c>
      <c r="K643" s="64" t="s">
        <v>28</v>
      </c>
      <c r="L643" s="64">
        <v>1.8</v>
      </c>
      <c r="M643" s="66">
        <v>8.9716028586013269E-2</v>
      </c>
      <c r="N643" s="64">
        <v>41194.629999999997</v>
      </c>
      <c r="O643" s="64" t="s">
        <v>22</v>
      </c>
    </row>
    <row r="644" spans="1:15" x14ac:dyDescent="0.3">
      <c r="A644" s="64">
        <v>643</v>
      </c>
      <c r="B644" s="64">
        <v>8013</v>
      </c>
      <c r="C644" s="64" t="s">
        <v>34</v>
      </c>
      <c r="D644" s="64" t="s">
        <v>20</v>
      </c>
      <c r="E644" s="64">
        <v>18556</v>
      </c>
      <c r="F644" s="64">
        <v>4</v>
      </c>
      <c r="G644" s="64">
        <v>74224</v>
      </c>
      <c r="H644" s="65">
        <v>45369</v>
      </c>
      <c r="I644" s="64" t="s">
        <v>15</v>
      </c>
      <c r="J644" s="64" t="s">
        <v>16</v>
      </c>
      <c r="K644" s="64" t="s">
        <v>17</v>
      </c>
      <c r="L644" s="64">
        <v>4</v>
      </c>
      <c r="M644" s="66">
        <v>0.143581860314723</v>
      </c>
      <c r="N644" s="64">
        <v>11609.98</v>
      </c>
      <c r="O644" s="64" t="s">
        <v>18</v>
      </c>
    </row>
    <row r="645" spans="1:15" x14ac:dyDescent="0.3">
      <c r="A645" s="64">
        <v>644</v>
      </c>
      <c r="B645" s="64">
        <v>1196</v>
      </c>
      <c r="C645" s="64" t="s">
        <v>34</v>
      </c>
      <c r="D645" s="64" t="s">
        <v>14</v>
      </c>
      <c r="E645" s="64">
        <v>2887</v>
      </c>
      <c r="F645" s="64">
        <v>4</v>
      </c>
      <c r="G645" s="64">
        <v>11548</v>
      </c>
      <c r="H645" s="65">
        <v>45607</v>
      </c>
      <c r="I645" s="64" t="s">
        <v>30</v>
      </c>
      <c r="J645" s="64" t="s">
        <v>21</v>
      </c>
      <c r="K645" s="64" t="s">
        <v>24</v>
      </c>
      <c r="L645" s="64">
        <v>1.1000000000000001</v>
      </c>
      <c r="M645" s="66">
        <v>9.3313127814340133E-2</v>
      </c>
      <c r="N645" s="64">
        <v>2386.8200000000002</v>
      </c>
      <c r="O645" s="64" t="s">
        <v>18</v>
      </c>
    </row>
    <row r="646" spans="1:15" x14ac:dyDescent="0.3">
      <c r="A646" s="64">
        <v>645</v>
      </c>
      <c r="B646" s="64">
        <v>4030</v>
      </c>
      <c r="C646" s="64" t="s">
        <v>32</v>
      </c>
      <c r="D646" s="64" t="s">
        <v>14</v>
      </c>
      <c r="E646" s="64">
        <v>38572</v>
      </c>
      <c r="F646" s="64">
        <v>5</v>
      </c>
      <c r="G646" s="64">
        <v>192860</v>
      </c>
      <c r="H646" s="65">
        <v>45293</v>
      </c>
      <c r="I646" s="64" t="s">
        <v>15</v>
      </c>
      <c r="J646" s="64" t="s">
        <v>35</v>
      </c>
      <c r="K646" s="64" t="s">
        <v>28</v>
      </c>
      <c r="L646" s="64">
        <v>2.1</v>
      </c>
      <c r="M646" s="66">
        <v>0.12432018044177123</v>
      </c>
      <c r="N646" s="64">
        <v>33881.61</v>
      </c>
      <c r="O646" s="64" t="s">
        <v>22</v>
      </c>
    </row>
    <row r="647" spans="1:15" x14ac:dyDescent="0.3">
      <c r="A647" s="64">
        <v>646</v>
      </c>
      <c r="B647" s="64">
        <v>5622</v>
      </c>
      <c r="C647" s="64" t="s">
        <v>23</v>
      </c>
      <c r="D647" s="64" t="s">
        <v>20</v>
      </c>
      <c r="E647" s="64">
        <v>30377</v>
      </c>
      <c r="F647" s="64">
        <v>5</v>
      </c>
      <c r="G647" s="64">
        <v>151885</v>
      </c>
      <c r="H647" s="65">
        <v>45425</v>
      </c>
      <c r="I647" s="64" t="s">
        <v>15</v>
      </c>
      <c r="J647" s="64" t="s">
        <v>21</v>
      </c>
      <c r="K647" s="64" t="s">
        <v>17</v>
      </c>
      <c r="L647" s="64">
        <v>2.2999999999999998</v>
      </c>
      <c r="M647" s="66">
        <v>0.11724337492181584</v>
      </c>
      <c r="N647" s="64">
        <v>27757.99</v>
      </c>
      <c r="O647" s="64" t="s">
        <v>18</v>
      </c>
    </row>
    <row r="648" spans="1:15" x14ac:dyDescent="0.3">
      <c r="A648" s="64">
        <v>647</v>
      </c>
      <c r="B648" s="64">
        <v>3502</v>
      </c>
      <c r="C648" s="64" t="s">
        <v>19</v>
      </c>
      <c r="D648" s="64" t="s">
        <v>20</v>
      </c>
      <c r="E648" s="64">
        <v>37029</v>
      </c>
      <c r="F648" s="64">
        <v>1</v>
      </c>
      <c r="G648" s="64">
        <v>37029</v>
      </c>
      <c r="H648" s="65">
        <v>45386</v>
      </c>
      <c r="I648" s="64" t="s">
        <v>30</v>
      </c>
      <c r="J648" s="64" t="s">
        <v>35</v>
      </c>
      <c r="K648" s="64" t="s">
        <v>24</v>
      </c>
      <c r="L648" s="64">
        <v>4.9000000000000004</v>
      </c>
      <c r="M648" s="66">
        <v>8.5370925490831501E-2</v>
      </c>
      <c r="N648" s="64">
        <v>7947.5</v>
      </c>
      <c r="O648" s="64" t="s">
        <v>22</v>
      </c>
    </row>
    <row r="649" spans="1:15" x14ac:dyDescent="0.3">
      <c r="A649" s="64">
        <v>648</v>
      </c>
      <c r="B649" s="64">
        <v>3344</v>
      </c>
      <c r="C649" s="64" t="s">
        <v>34</v>
      </c>
      <c r="D649" s="64" t="s">
        <v>14</v>
      </c>
      <c r="E649" s="64">
        <v>44681</v>
      </c>
      <c r="F649" s="64">
        <v>3</v>
      </c>
      <c r="G649" s="64">
        <v>134043</v>
      </c>
      <c r="H649" s="65">
        <v>45578</v>
      </c>
      <c r="I649" s="64" t="s">
        <v>26</v>
      </c>
      <c r="J649" s="64" t="s">
        <v>27</v>
      </c>
      <c r="K649" s="64" t="s">
        <v>28</v>
      </c>
      <c r="L649" s="64">
        <v>3.9</v>
      </c>
      <c r="M649" s="66">
        <v>0.24058361868952499</v>
      </c>
      <c r="N649" s="64">
        <v>7964.35</v>
      </c>
      <c r="O649" s="64" t="s">
        <v>18</v>
      </c>
    </row>
    <row r="650" spans="1:15" x14ac:dyDescent="0.3">
      <c r="A650" s="64">
        <v>649</v>
      </c>
      <c r="B650" s="64">
        <v>1477</v>
      </c>
      <c r="C650" s="64" t="s">
        <v>13</v>
      </c>
      <c r="D650" s="64" t="s">
        <v>25</v>
      </c>
      <c r="E650" s="64">
        <v>49349</v>
      </c>
      <c r="F650" s="64">
        <v>1</v>
      </c>
      <c r="G650" s="64">
        <v>49349</v>
      </c>
      <c r="H650" s="65">
        <v>45653</v>
      </c>
      <c r="I650" s="64" t="s">
        <v>26</v>
      </c>
      <c r="J650" s="64" t="s">
        <v>35</v>
      </c>
      <c r="K650" s="64" t="s">
        <v>28</v>
      </c>
      <c r="L650" s="64">
        <v>3.3</v>
      </c>
      <c r="M650" s="66">
        <v>0.27500151978763498</v>
      </c>
      <c r="N650" s="64">
        <v>1233.6500000000001</v>
      </c>
      <c r="O650" s="64" t="s">
        <v>18</v>
      </c>
    </row>
    <row r="651" spans="1:15" x14ac:dyDescent="0.3">
      <c r="A651" s="64">
        <v>650</v>
      </c>
      <c r="B651" s="64">
        <v>6574</v>
      </c>
      <c r="C651" s="64" t="s">
        <v>13</v>
      </c>
      <c r="D651" s="64" t="s">
        <v>20</v>
      </c>
      <c r="E651" s="64">
        <v>47134</v>
      </c>
      <c r="F651" s="64">
        <v>1</v>
      </c>
      <c r="G651" s="64">
        <v>47134</v>
      </c>
      <c r="H651" s="65">
        <v>45568</v>
      </c>
      <c r="I651" s="64" t="s">
        <v>33</v>
      </c>
      <c r="J651" s="64" t="s">
        <v>31</v>
      </c>
      <c r="K651" s="64" t="s">
        <v>24</v>
      </c>
      <c r="L651" s="64">
        <v>1.4</v>
      </c>
      <c r="M651" s="66">
        <v>0.2796539652904485</v>
      </c>
      <c r="N651" s="64">
        <v>958.99</v>
      </c>
      <c r="O651" s="64" t="s">
        <v>22</v>
      </c>
    </row>
    <row r="652" spans="1:15" x14ac:dyDescent="0.3">
      <c r="A652" s="64">
        <v>651</v>
      </c>
      <c r="B652" s="64">
        <v>3307</v>
      </c>
      <c r="C652" s="64" t="s">
        <v>13</v>
      </c>
      <c r="D652" s="64" t="s">
        <v>14</v>
      </c>
      <c r="E652" s="64">
        <v>4952</v>
      </c>
      <c r="F652" s="64">
        <v>4</v>
      </c>
      <c r="G652" s="64">
        <v>19808</v>
      </c>
      <c r="H652" s="65">
        <v>45519</v>
      </c>
      <c r="I652" s="64" t="s">
        <v>26</v>
      </c>
      <c r="J652" s="64" t="s">
        <v>35</v>
      </c>
      <c r="K652" s="64" t="s">
        <v>17</v>
      </c>
      <c r="L652" s="64">
        <v>2.6</v>
      </c>
      <c r="M652" s="66">
        <v>7.1185884491114695E-2</v>
      </c>
      <c r="N652" s="64">
        <v>4532.3500000000004</v>
      </c>
      <c r="O652" s="64" t="s">
        <v>18</v>
      </c>
    </row>
    <row r="653" spans="1:15" x14ac:dyDescent="0.3">
      <c r="A653" s="64">
        <v>652</v>
      </c>
      <c r="B653" s="64">
        <v>7812</v>
      </c>
      <c r="C653" s="64" t="s">
        <v>23</v>
      </c>
      <c r="D653" s="64" t="s">
        <v>20</v>
      </c>
      <c r="E653" s="64">
        <v>5012</v>
      </c>
      <c r="F653" s="64">
        <v>3</v>
      </c>
      <c r="G653" s="64">
        <v>15036</v>
      </c>
      <c r="H653" s="65">
        <v>45496</v>
      </c>
      <c r="I653" s="64" t="s">
        <v>30</v>
      </c>
      <c r="J653" s="64" t="s">
        <v>35</v>
      </c>
      <c r="K653" s="64" t="s">
        <v>24</v>
      </c>
      <c r="L653" s="64">
        <v>4.0999999999999996</v>
      </c>
      <c r="M653" s="66">
        <v>5.629090183559457E-2</v>
      </c>
      <c r="N653" s="64">
        <v>3664.41</v>
      </c>
      <c r="O653" s="64" t="s">
        <v>18</v>
      </c>
    </row>
    <row r="654" spans="1:15" x14ac:dyDescent="0.3">
      <c r="A654" s="64">
        <v>653</v>
      </c>
      <c r="B654" s="64">
        <v>3652</v>
      </c>
      <c r="C654" s="64" t="s">
        <v>19</v>
      </c>
      <c r="D654" s="64" t="s">
        <v>25</v>
      </c>
      <c r="E654" s="64">
        <v>10549</v>
      </c>
      <c r="F654" s="64">
        <v>2</v>
      </c>
      <c r="G654" s="64">
        <v>21098</v>
      </c>
      <c r="H654" s="65">
        <v>45465</v>
      </c>
      <c r="I654" s="64" t="s">
        <v>30</v>
      </c>
      <c r="J654" s="64" t="s">
        <v>21</v>
      </c>
      <c r="K654" s="64" t="s">
        <v>17</v>
      </c>
      <c r="L654" s="64">
        <v>2.5</v>
      </c>
      <c r="M654" s="66">
        <v>0.18042800265428002</v>
      </c>
      <c r="N654" s="64">
        <v>2522.73</v>
      </c>
      <c r="O654" s="64" t="s">
        <v>22</v>
      </c>
    </row>
    <row r="655" spans="1:15" x14ac:dyDescent="0.3">
      <c r="A655" s="64">
        <v>654</v>
      </c>
      <c r="B655" s="64">
        <v>8994</v>
      </c>
      <c r="C655" s="64" t="s">
        <v>23</v>
      </c>
      <c r="D655" s="64" t="s">
        <v>25</v>
      </c>
      <c r="E655" s="64">
        <v>43203</v>
      </c>
      <c r="F655" s="64">
        <v>2</v>
      </c>
      <c r="G655" s="64">
        <v>86406</v>
      </c>
      <c r="H655" s="65">
        <v>45435</v>
      </c>
      <c r="I655" s="64" t="s">
        <v>30</v>
      </c>
      <c r="J655" s="64" t="s">
        <v>31</v>
      </c>
      <c r="K655" s="64" t="s">
        <v>17</v>
      </c>
      <c r="L655" s="64">
        <v>1</v>
      </c>
      <c r="M655" s="66">
        <v>0.22476228502650281</v>
      </c>
      <c r="N655" s="64">
        <v>6500.99</v>
      </c>
      <c r="O655" s="64" t="s">
        <v>18</v>
      </c>
    </row>
    <row r="656" spans="1:15" x14ac:dyDescent="0.3">
      <c r="A656" s="64">
        <v>655</v>
      </c>
      <c r="B656" s="64">
        <v>7070</v>
      </c>
      <c r="C656" s="64" t="s">
        <v>19</v>
      </c>
      <c r="D656" s="64" t="s">
        <v>20</v>
      </c>
      <c r="E656" s="64">
        <v>49611</v>
      </c>
      <c r="F656" s="64">
        <v>4</v>
      </c>
      <c r="G656" s="64">
        <v>198444</v>
      </c>
      <c r="H656" s="65">
        <v>45629</v>
      </c>
      <c r="I656" s="64" t="s">
        <v>26</v>
      </c>
      <c r="J656" s="64" t="s">
        <v>27</v>
      </c>
      <c r="K656" s="64" t="s">
        <v>17</v>
      </c>
      <c r="L656" s="64">
        <v>1.6</v>
      </c>
      <c r="M656" s="66">
        <v>0.27938874443167844</v>
      </c>
      <c r="N656" s="64">
        <v>4090.18</v>
      </c>
      <c r="O656" s="64" t="s">
        <v>22</v>
      </c>
    </row>
    <row r="657" spans="1:15" x14ac:dyDescent="0.3">
      <c r="A657" s="64">
        <v>656</v>
      </c>
      <c r="B657" s="64">
        <v>7962</v>
      </c>
      <c r="C657" s="64" t="s">
        <v>29</v>
      </c>
      <c r="D657" s="64" t="s">
        <v>20</v>
      </c>
      <c r="E657" s="64">
        <v>11505</v>
      </c>
      <c r="F657" s="64">
        <v>1</v>
      </c>
      <c r="G657" s="64">
        <v>11505</v>
      </c>
      <c r="H657" s="65">
        <v>45453</v>
      </c>
      <c r="I657" s="64" t="s">
        <v>26</v>
      </c>
      <c r="J657" s="64" t="s">
        <v>31</v>
      </c>
      <c r="K657" s="64" t="s">
        <v>28</v>
      </c>
      <c r="L657" s="64">
        <v>5</v>
      </c>
      <c r="M657" s="66">
        <v>0.21761147327249022</v>
      </c>
      <c r="N657" s="64">
        <v>947.88</v>
      </c>
      <c r="O657" s="64" t="s">
        <v>18</v>
      </c>
    </row>
    <row r="658" spans="1:15" x14ac:dyDescent="0.3">
      <c r="A658" s="64">
        <v>657</v>
      </c>
      <c r="B658" s="64">
        <v>3491</v>
      </c>
      <c r="C658" s="64" t="s">
        <v>34</v>
      </c>
      <c r="D658" s="64" t="s">
        <v>25</v>
      </c>
      <c r="E658" s="64">
        <v>15327</v>
      </c>
      <c r="F658" s="64">
        <v>4</v>
      </c>
      <c r="G658" s="64">
        <v>61308</v>
      </c>
      <c r="H658" s="65">
        <v>45469</v>
      </c>
      <c r="I658" s="64" t="s">
        <v>30</v>
      </c>
      <c r="J658" s="64" t="s">
        <v>16</v>
      </c>
      <c r="K658" s="64" t="s">
        <v>24</v>
      </c>
      <c r="L658" s="64">
        <v>4.7</v>
      </c>
      <c r="M658" s="66">
        <v>6.7710249885822416E-2</v>
      </c>
      <c r="N658" s="64">
        <v>14241.22</v>
      </c>
      <c r="O658" s="64" t="s">
        <v>18</v>
      </c>
    </row>
    <row r="659" spans="1:15" x14ac:dyDescent="0.3">
      <c r="A659" s="64">
        <v>658</v>
      </c>
      <c r="B659" s="64">
        <v>6993</v>
      </c>
      <c r="C659" s="64" t="s">
        <v>29</v>
      </c>
      <c r="D659" s="64" t="s">
        <v>14</v>
      </c>
      <c r="E659" s="64">
        <v>42503</v>
      </c>
      <c r="F659" s="64">
        <v>3</v>
      </c>
      <c r="G659" s="64">
        <v>127509</v>
      </c>
      <c r="H659" s="65">
        <v>45537</v>
      </c>
      <c r="I659" s="64" t="s">
        <v>15</v>
      </c>
      <c r="J659" s="64" t="s">
        <v>27</v>
      </c>
      <c r="K659" s="64" t="s">
        <v>24</v>
      </c>
      <c r="L659" s="64">
        <v>3.6</v>
      </c>
      <c r="M659" s="66">
        <v>0.14615282058521359</v>
      </c>
      <c r="N659" s="64">
        <v>19616.900000000001</v>
      </c>
      <c r="O659" s="64" t="s">
        <v>22</v>
      </c>
    </row>
    <row r="660" spans="1:15" x14ac:dyDescent="0.3">
      <c r="A660" s="64">
        <v>659</v>
      </c>
      <c r="B660" s="64">
        <v>1740</v>
      </c>
      <c r="C660" s="64" t="s">
        <v>19</v>
      </c>
      <c r="D660" s="64" t="s">
        <v>25</v>
      </c>
      <c r="E660" s="64">
        <v>39163</v>
      </c>
      <c r="F660" s="64">
        <v>5</v>
      </c>
      <c r="G660" s="64">
        <v>195815</v>
      </c>
      <c r="H660" s="65">
        <v>45508</v>
      </c>
      <c r="I660" s="64" t="s">
        <v>33</v>
      </c>
      <c r="J660" s="64" t="s">
        <v>21</v>
      </c>
      <c r="K660" s="64" t="s">
        <v>28</v>
      </c>
      <c r="L660" s="64">
        <v>1.8</v>
      </c>
      <c r="M660" s="66">
        <v>0.16563644256058013</v>
      </c>
      <c r="N660" s="64">
        <v>26310.400000000001</v>
      </c>
      <c r="O660" s="64" t="s">
        <v>22</v>
      </c>
    </row>
    <row r="661" spans="1:15" x14ac:dyDescent="0.3">
      <c r="A661" s="64">
        <v>660</v>
      </c>
      <c r="B661" s="64">
        <v>6316</v>
      </c>
      <c r="C661" s="64" t="s">
        <v>29</v>
      </c>
      <c r="D661" s="64" t="s">
        <v>25</v>
      </c>
      <c r="E661" s="64">
        <v>13718</v>
      </c>
      <c r="F661" s="64">
        <v>5</v>
      </c>
      <c r="G661" s="64">
        <v>68590</v>
      </c>
      <c r="H661" s="65">
        <v>45329</v>
      </c>
      <c r="I661" s="64" t="s">
        <v>15</v>
      </c>
      <c r="J661" s="64" t="s">
        <v>31</v>
      </c>
      <c r="K661" s="64" t="s">
        <v>28</v>
      </c>
      <c r="L661" s="64">
        <v>4.5</v>
      </c>
      <c r="M661" s="66">
        <v>0.29041886572386649</v>
      </c>
      <c r="N661" s="64">
        <v>657.17</v>
      </c>
      <c r="O661" s="64" t="s">
        <v>22</v>
      </c>
    </row>
    <row r="662" spans="1:15" x14ac:dyDescent="0.3">
      <c r="A662" s="64">
        <v>661</v>
      </c>
      <c r="B662" s="64">
        <v>1574</v>
      </c>
      <c r="C662" s="64" t="s">
        <v>13</v>
      </c>
      <c r="D662" s="64" t="s">
        <v>14</v>
      </c>
      <c r="E662" s="64">
        <v>29488</v>
      </c>
      <c r="F662" s="64">
        <v>4</v>
      </c>
      <c r="G662" s="64">
        <v>117952</v>
      </c>
      <c r="H662" s="65">
        <v>45631</v>
      </c>
      <c r="I662" s="64" t="s">
        <v>33</v>
      </c>
      <c r="J662" s="64" t="s">
        <v>35</v>
      </c>
      <c r="K662" s="64" t="s">
        <v>28</v>
      </c>
      <c r="L662" s="64">
        <v>4.9000000000000004</v>
      </c>
      <c r="M662" s="66">
        <v>0.25917483383071077</v>
      </c>
      <c r="N662" s="64">
        <v>4815.41</v>
      </c>
      <c r="O662" s="64" t="s">
        <v>22</v>
      </c>
    </row>
    <row r="663" spans="1:15" x14ac:dyDescent="0.3">
      <c r="A663" s="64">
        <v>662</v>
      </c>
      <c r="B663" s="64">
        <v>8074</v>
      </c>
      <c r="C663" s="64" t="s">
        <v>19</v>
      </c>
      <c r="D663" s="64" t="s">
        <v>25</v>
      </c>
      <c r="E663" s="64">
        <v>21434</v>
      </c>
      <c r="F663" s="64">
        <v>3</v>
      </c>
      <c r="G663" s="64">
        <v>64302</v>
      </c>
      <c r="H663" s="65">
        <v>45582</v>
      </c>
      <c r="I663" s="64" t="s">
        <v>15</v>
      </c>
      <c r="J663" s="64" t="s">
        <v>27</v>
      </c>
      <c r="K663" s="64" t="s">
        <v>28</v>
      </c>
      <c r="L663" s="64">
        <v>2.2000000000000002</v>
      </c>
      <c r="M663" s="66">
        <v>0.2419112935834033</v>
      </c>
      <c r="N663" s="64">
        <v>3735.22</v>
      </c>
      <c r="O663" s="64" t="s">
        <v>22</v>
      </c>
    </row>
    <row r="664" spans="1:15" x14ac:dyDescent="0.3">
      <c r="A664" s="64">
        <v>663</v>
      </c>
      <c r="B664" s="64">
        <v>8877</v>
      </c>
      <c r="C664" s="64" t="s">
        <v>32</v>
      </c>
      <c r="D664" s="64" t="s">
        <v>20</v>
      </c>
      <c r="E664" s="64">
        <v>24077</v>
      </c>
      <c r="F664" s="64">
        <v>5</v>
      </c>
      <c r="G664" s="64">
        <v>120385</v>
      </c>
      <c r="H664" s="65">
        <v>45571</v>
      </c>
      <c r="I664" s="64" t="s">
        <v>15</v>
      </c>
      <c r="J664" s="64" t="s">
        <v>16</v>
      </c>
      <c r="K664" s="64" t="s">
        <v>17</v>
      </c>
      <c r="L664" s="64">
        <v>2.7</v>
      </c>
      <c r="M664" s="66">
        <v>0.12857739751630187</v>
      </c>
      <c r="N664" s="64">
        <v>20636.71</v>
      </c>
      <c r="O664" s="64" t="s">
        <v>22</v>
      </c>
    </row>
    <row r="665" spans="1:15" x14ac:dyDescent="0.3">
      <c r="A665" s="64">
        <v>664</v>
      </c>
      <c r="B665" s="64">
        <v>1389</v>
      </c>
      <c r="C665" s="64" t="s">
        <v>19</v>
      </c>
      <c r="D665" s="64" t="s">
        <v>25</v>
      </c>
      <c r="E665" s="64">
        <v>44677</v>
      </c>
      <c r="F665" s="64">
        <v>1</v>
      </c>
      <c r="G665" s="64">
        <v>44677</v>
      </c>
      <c r="H665" s="65">
        <v>45509</v>
      </c>
      <c r="I665" s="64" t="s">
        <v>30</v>
      </c>
      <c r="J665" s="64" t="s">
        <v>16</v>
      </c>
      <c r="K665" s="64" t="s">
        <v>24</v>
      </c>
      <c r="L665" s="64">
        <v>2.4</v>
      </c>
      <c r="M665" s="66">
        <v>0.22072475770530697</v>
      </c>
      <c r="N665" s="64">
        <v>3541.78</v>
      </c>
      <c r="O665" s="64" t="s">
        <v>22</v>
      </c>
    </row>
    <row r="666" spans="1:15" x14ac:dyDescent="0.3">
      <c r="A666" s="64">
        <v>665</v>
      </c>
      <c r="B666" s="64">
        <v>1831</v>
      </c>
      <c r="C666" s="64" t="s">
        <v>34</v>
      </c>
      <c r="D666" s="64" t="s">
        <v>25</v>
      </c>
      <c r="E666" s="64">
        <v>47141</v>
      </c>
      <c r="F666" s="64">
        <v>5</v>
      </c>
      <c r="G666" s="64">
        <v>235705</v>
      </c>
      <c r="H666" s="65">
        <v>45370</v>
      </c>
      <c r="I666" s="64" t="s">
        <v>26</v>
      </c>
      <c r="J666" s="64" t="s">
        <v>21</v>
      </c>
      <c r="K666" s="64" t="s">
        <v>17</v>
      </c>
      <c r="L666" s="64">
        <v>1.7</v>
      </c>
      <c r="M666" s="66">
        <v>0.1096290702361002</v>
      </c>
      <c r="N666" s="64">
        <v>44871.38</v>
      </c>
      <c r="O666" s="64" t="s">
        <v>22</v>
      </c>
    </row>
    <row r="667" spans="1:15" x14ac:dyDescent="0.3">
      <c r="A667" s="64">
        <v>666</v>
      </c>
      <c r="B667" s="64">
        <v>5908</v>
      </c>
      <c r="C667" s="64" t="s">
        <v>23</v>
      </c>
      <c r="D667" s="64" t="s">
        <v>14</v>
      </c>
      <c r="E667" s="64">
        <v>26428</v>
      </c>
      <c r="F667" s="64">
        <v>4</v>
      </c>
      <c r="G667" s="64">
        <v>105712</v>
      </c>
      <c r="H667" s="65">
        <v>45317</v>
      </c>
      <c r="I667" s="64" t="s">
        <v>33</v>
      </c>
      <c r="J667" s="64" t="s">
        <v>35</v>
      </c>
      <c r="K667" s="64" t="s">
        <v>17</v>
      </c>
      <c r="L667" s="64">
        <v>1.7</v>
      </c>
      <c r="M667" s="66">
        <v>0.2495828288179204</v>
      </c>
      <c r="N667" s="64">
        <v>5329.7</v>
      </c>
      <c r="O667" s="64" t="s">
        <v>18</v>
      </c>
    </row>
    <row r="668" spans="1:15" x14ac:dyDescent="0.3">
      <c r="A668" s="64">
        <v>667</v>
      </c>
      <c r="B668" s="64">
        <v>8689</v>
      </c>
      <c r="C668" s="64" t="s">
        <v>23</v>
      </c>
      <c r="D668" s="64" t="s">
        <v>14</v>
      </c>
      <c r="E668" s="64">
        <v>603</v>
      </c>
      <c r="F668" s="64">
        <v>1</v>
      </c>
      <c r="G668" s="64">
        <v>603</v>
      </c>
      <c r="H668" s="65">
        <v>45299</v>
      </c>
      <c r="I668" s="64" t="s">
        <v>30</v>
      </c>
      <c r="J668" s="64" t="s">
        <v>16</v>
      </c>
      <c r="K668" s="64" t="s">
        <v>24</v>
      </c>
      <c r="L668" s="64">
        <v>4.9000000000000004</v>
      </c>
      <c r="M668" s="66">
        <v>0.21190713101160863</v>
      </c>
      <c r="N668" s="64">
        <v>53.12</v>
      </c>
      <c r="O668" s="64" t="s">
        <v>18</v>
      </c>
    </row>
    <row r="669" spans="1:15" x14ac:dyDescent="0.3">
      <c r="A669" s="64">
        <v>668</v>
      </c>
      <c r="B669" s="64">
        <v>6747</v>
      </c>
      <c r="C669" s="64" t="s">
        <v>29</v>
      </c>
      <c r="D669" s="64" t="s">
        <v>14</v>
      </c>
      <c r="E669" s="64">
        <v>37520</v>
      </c>
      <c r="F669" s="64">
        <v>3</v>
      </c>
      <c r="G669" s="64">
        <v>112560</v>
      </c>
      <c r="H669" s="65">
        <v>45628</v>
      </c>
      <c r="I669" s="64" t="s">
        <v>33</v>
      </c>
      <c r="J669" s="64" t="s">
        <v>31</v>
      </c>
      <c r="K669" s="64" t="s">
        <v>28</v>
      </c>
      <c r="L669" s="64">
        <v>2.1</v>
      </c>
      <c r="M669" s="66">
        <v>0.25410412224591328</v>
      </c>
      <c r="N669" s="64">
        <v>5166.04</v>
      </c>
      <c r="O669" s="64" t="s">
        <v>18</v>
      </c>
    </row>
    <row r="670" spans="1:15" x14ac:dyDescent="0.3">
      <c r="A670" s="64">
        <v>669</v>
      </c>
      <c r="B670" s="64">
        <v>9846</v>
      </c>
      <c r="C670" s="64" t="s">
        <v>19</v>
      </c>
      <c r="D670" s="64" t="s">
        <v>20</v>
      </c>
      <c r="E670" s="64">
        <v>12500</v>
      </c>
      <c r="F670" s="64">
        <v>3</v>
      </c>
      <c r="G670" s="64">
        <v>37500</v>
      </c>
      <c r="H670" s="65">
        <v>45432</v>
      </c>
      <c r="I670" s="64" t="s">
        <v>15</v>
      </c>
      <c r="J670" s="64" t="s">
        <v>35</v>
      </c>
      <c r="K670" s="64" t="s">
        <v>17</v>
      </c>
      <c r="L670" s="64">
        <v>2.4</v>
      </c>
      <c r="M670" s="66">
        <v>5.4823733333333333E-2</v>
      </c>
      <c r="N670" s="64">
        <v>9194.11</v>
      </c>
      <c r="O670" s="64" t="s">
        <v>22</v>
      </c>
    </row>
    <row r="671" spans="1:15" x14ac:dyDescent="0.3">
      <c r="A671" s="64">
        <v>670</v>
      </c>
      <c r="B671" s="64">
        <v>6840</v>
      </c>
      <c r="C671" s="64" t="s">
        <v>23</v>
      </c>
      <c r="D671" s="64" t="s">
        <v>20</v>
      </c>
      <c r="E671" s="64">
        <v>19148</v>
      </c>
      <c r="F671" s="64">
        <v>1</v>
      </c>
      <c r="G671" s="64">
        <v>19148</v>
      </c>
      <c r="H671" s="65">
        <v>45581</v>
      </c>
      <c r="I671" s="64" t="s">
        <v>15</v>
      </c>
      <c r="J671" s="64" t="s">
        <v>16</v>
      </c>
      <c r="K671" s="64" t="s">
        <v>28</v>
      </c>
      <c r="L671" s="64">
        <v>3.7</v>
      </c>
      <c r="M671" s="66">
        <v>0.21865625652809692</v>
      </c>
      <c r="N671" s="64">
        <v>1557.57</v>
      </c>
      <c r="O671" s="64" t="s">
        <v>22</v>
      </c>
    </row>
    <row r="672" spans="1:15" x14ac:dyDescent="0.3">
      <c r="A672" s="64">
        <v>671</v>
      </c>
      <c r="B672" s="64">
        <v>7979</v>
      </c>
      <c r="C672" s="64" t="s">
        <v>29</v>
      </c>
      <c r="D672" s="64" t="s">
        <v>20</v>
      </c>
      <c r="E672" s="64">
        <v>38823</v>
      </c>
      <c r="F672" s="64">
        <v>1</v>
      </c>
      <c r="G672" s="64">
        <v>38823</v>
      </c>
      <c r="H672" s="65">
        <v>45596</v>
      </c>
      <c r="I672" s="64" t="s">
        <v>15</v>
      </c>
      <c r="J672" s="64" t="s">
        <v>21</v>
      </c>
      <c r="K672" s="64" t="s">
        <v>28</v>
      </c>
      <c r="L672" s="64">
        <v>3.3</v>
      </c>
      <c r="M672" s="66">
        <v>0.14510547871107335</v>
      </c>
      <c r="N672" s="64">
        <v>6013.47</v>
      </c>
      <c r="O672" s="64" t="s">
        <v>18</v>
      </c>
    </row>
    <row r="673" spans="1:15" x14ac:dyDescent="0.3">
      <c r="A673" s="64">
        <v>672</v>
      </c>
      <c r="B673" s="64">
        <v>9700</v>
      </c>
      <c r="C673" s="64" t="s">
        <v>34</v>
      </c>
      <c r="D673" s="64" t="s">
        <v>14</v>
      </c>
      <c r="E673" s="64">
        <v>49421</v>
      </c>
      <c r="F673" s="64">
        <v>2</v>
      </c>
      <c r="G673" s="64">
        <v>98842</v>
      </c>
      <c r="H673" s="65">
        <v>45512</v>
      </c>
      <c r="I673" s="64" t="s">
        <v>15</v>
      </c>
      <c r="J673" s="64" t="s">
        <v>31</v>
      </c>
      <c r="K673" s="64" t="s">
        <v>28</v>
      </c>
      <c r="L673" s="64">
        <v>2.6</v>
      </c>
      <c r="M673" s="66">
        <v>0.26772485380708605</v>
      </c>
      <c r="N673" s="64">
        <v>3190.14</v>
      </c>
      <c r="O673" s="64" t="s">
        <v>22</v>
      </c>
    </row>
    <row r="674" spans="1:15" x14ac:dyDescent="0.3">
      <c r="A674" s="64">
        <v>673</v>
      </c>
      <c r="B674" s="64">
        <v>6607</v>
      </c>
      <c r="C674" s="64" t="s">
        <v>23</v>
      </c>
      <c r="D674" s="64" t="s">
        <v>20</v>
      </c>
      <c r="E674" s="64">
        <v>18709</v>
      </c>
      <c r="F674" s="64">
        <v>5</v>
      </c>
      <c r="G674" s="64">
        <v>93545</v>
      </c>
      <c r="H674" s="65">
        <v>45338</v>
      </c>
      <c r="I674" s="64" t="s">
        <v>33</v>
      </c>
      <c r="J674" s="64" t="s">
        <v>21</v>
      </c>
      <c r="K674" s="64" t="s">
        <v>28</v>
      </c>
      <c r="L674" s="64">
        <v>4.5999999999999996</v>
      </c>
      <c r="M674" s="66">
        <v>0.27506130739216422</v>
      </c>
      <c r="N674" s="64">
        <v>2332.89</v>
      </c>
      <c r="O674" s="64" t="s">
        <v>22</v>
      </c>
    </row>
    <row r="675" spans="1:15" x14ac:dyDescent="0.3">
      <c r="A675" s="64">
        <v>674</v>
      </c>
      <c r="B675" s="64">
        <v>8057</v>
      </c>
      <c r="C675" s="64" t="s">
        <v>23</v>
      </c>
      <c r="D675" s="64" t="s">
        <v>25</v>
      </c>
      <c r="E675" s="64">
        <v>23779</v>
      </c>
      <c r="F675" s="64">
        <v>5</v>
      </c>
      <c r="G675" s="64">
        <v>118895</v>
      </c>
      <c r="H675" s="65">
        <v>45624</v>
      </c>
      <c r="I675" s="64" t="s">
        <v>15</v>
      </c>
      <c r="J675" s="64" t="s">
        <v>27</v>
      </c>
      <c r="K675" s="64" t="s">
        <v>17</v>
      </c>
      <c r="L675" s="64">
        <v>1.6</v>
      </c>
      <c r="M675" s="66">
        <v>7.8349972664956469E-2</v>
      </c>
      <c r="N675" s="64">
        <v>26353.08</v>
      </c>
      <c r="O675" s="64" t="s">
        <v>22</v>
      </c>
    </row>
    <row r="676" spans="1:15" x14ac:dyDescent="0.3">
      <c r="A676" s="64">
        <v>675</v>
      </c>
      <c r="B676" s="64">
        <v>2054</v>
      </c>
      <c r="C676" s="64" t="s">
        <v>32</v>
      </c>
      <c r="D676" s="64" t="s">
        <v>20</v>
      </c>
      <c r="E676" s="64">
        <v>28228</v>
      </c>
      <c r="F676" s="64">
        <v>5</v>
      </c>
      <c r="G676" s="64">
        <v>141140</v>
      </c>
      <c r="H676" s="65">
        <v>45560</v>
      </c>
      <c r="I676" s="64" t="s">
        <v>33</v>
      </c>
      <c r="J676" s="64" t="s">
        <v>21</v>
      </c>
      <c r="K676" s="64" t="s">
        <v>28</v>
      </c>
      <c r="L676" s="64">
        <v>4.9000000000000004</v>
      </c>
      <c r="M676" s="66">
        <v>0.13201700439280148</v>
      </c>
      <c r="N676" s="64">
        <v>23709.119999999999</v>
      </c>
      <c r="O676" s="64" t="s">
        <v>22</v>
      </c>
    </row>
    <row r="677" spans="1:15" x14ac:dyDescent="0.3">
      <c r="A677" s="64">
        <v>676</v>
      </c>
      <c r="B677" s="64">
        <v>1679</v>
      </c>
      <c r="C677" s="64" t="s">
        <v>13</v>
      </c>
      <c r="D677" s="64" t="s">
        <v>20</v>
      </c>
      <c r="E677" s="64">
        <v>22720</v>
      </c>
      <c r="F677" s="64">
        <v>4</v>
      </c>
      <c r="G677" s="64">
        <v>90880</v>
      </c>
      <c r="H677" s="65">
        <v>45539</v>
      </c>
      <c r="I677" s="64" t="s">
        <v>33</v>
      </c>
      <c r="J677" s="64" t="s">
        <v>16</v>
      </c>
      <c r="K677" s="64" t="s">
        <v>24</v>
      </c>
      <c r="L677" s="64">
        <v>4.7</v>
      </c>
      <c r="M677" s="66">
        <v>0.29150066021126764</v>
      </c>
      <c r="N677" s="64">
        <v>772.42</v>
      </c>
      <c r="O677" s="64" t="s">
        <v>18</v>
      </c>
    </row>
    <row r="678" spans="1:15" x14ac:dyDescent="0.3">
      <c r="A678" s="64">
        <v>677</v>
      </c>
      <c r="B678" s="64">
        <v>2091</v>
      </c>
      <c r="C678" s="64" t="s">
        <v>19</v>
      </c>
      <c r="D678" s="64" t="s">
        <v>20</v>
      </c>
      <c r="E678" s="64">
        <v>47213</v>
      </c>
      <c r="F678" s="64">
        <v>3</v>
      </c>
      <c r="G678" s="64">
        <v>141639</v>
      </c>
      <c r="H678" s="65">
        <v>45594</v>
      </c>
      <c r="I678" s="64" t="s">
        <v>33</v>
      </c>
      <c r="J678" s="64" t="s">
        <v>27</v>
      </c>
      <c r="K678" s="64" t="s">
        <v>24</v>
      </c>
      <c r="L678" s="64">
        <v>3.1</v>
      </c>
      <c r="M678" s="66">
        <v>9.3706676833358052E-2</v>
      </c>
      <c r="N678" s="64">
        <v>29219.18</v>
      </c>
      <c r="O678" s="64" t="s">
        <v>22</v>
      </c>
    </row>
    <row r="679" spans="1:15" x14ac:dyDescent="0.3">
      <c r="A679" s="64">
        <v>678</v>
      </c>
      <c r="B679" s="64">
        <v>3126</v>
      </c>
      <c r="C679" s="64" t="s">
        <v>19</v>
      </c>
      <c r="D679" s="64" t="s">
        <v>25</v>
      </c>
      <c r="E679" s="64">
        <v>34147</v>
      </c>
      <c r="F679" s="64">
        <v>1</v>
      </c>
      <c r="G679" s="64">
        <v>34147</v>
      </c>
      <c r="H679" s="65">
        <v>45412</v>
      </c>
      <c r="I679" s="64" t="s">
        <v>15</v>
      </c>
      <c r="J679" s="64" t="s">
        <v>27</v>
      </c>
      <c r="K679" s="64" t="s">
        <v>28</v>
      </c>
      <c r="L679" s="64">
        <v>2.9</v>
      </c>
      <c r="M679" s="66">
        <v>0.23077283509532315</v>
      </c>
      <c r="N679" s="64">
        <v>2363.9</v>
      </c>
      <c r="O679" s="64" t="s">
        <v>18</v>
      </c>
    </row>
    <row r="680" spans="1:15" x14ac:dyDescent="0.3">
      <c r="A680" s="64">
        <v>679</v>
      </c>
      <c r="B680" s="64">
        <v>1743</v>
      </c>
      <c r="C680" s="64" t="s">
        <v>29</v>
      </c>
      <c r="D680" s="64" t="s">
        <v>20</v>
      </c>
      <c r="E680" s="64">
        <v>5414</v>
      </c>
      <c r="F680" s="64">
        <v>2</v>
      </c>
      <c r="G680" s="64">
        <v>10828</v>
      </c>
      <c r="H680" s="65">
        <v>45529</v>
      </c>
      <c r="I680" s="64" t="s">
        <v>33</v>
      </c>
      <c r="J680" s="64" t="s">
        <v>21</v>
      </c>
      <c r="K680" s="64" t="s">
        <v>17</v>
      </c>
      <c r="L680" s="64">
        <v>3.8</v>
      </c>
      <c r="M680" s="66">
        <v>0.27179719246398226</v>
      </c>
      <c r="N680" s="64">
        <v>305.38</v>
      </c>
      <c r="O680" s="64" t="s">
        <v>22</v>
      </c>
    </row>
    <row r="681" spans="1:15" x14ac:dyDescent="0.3">
      <c r="A681" s="64">
        <v>680</v>
      </c>
      <c r="B681" s="64">
        <v>3112</v>
      </c>
      <c r="C681" s="64" t="s">
        <v>32</v>
      </c>
      <c r="D681" s="64" t="s">
        <v>25</v>
      </c>
      <c r="E681" s="64">
        <v>25557</v>
      </c>
      <c r="F681" s="64">
        <v>5</v>
      </c>
      <c r="G681" s="64">
        <v>127785</v>
      </c>
      <c r="H681" s="65">
        <v>45459</v>
      </c>
      <c r="I681" s="64" t="s">
        <v>15</v>
      </c>
      <c r="J681" s="64" t="s">
        <v>16</v>
      </c>
      <c r="K681" s="64" t="s">
        <v>17</v>
      </c>
      <c r="L681" s="64">
        <v>4.5999999999999996</v>
      </c>
      <c r="M681" s="66">
        <v>0.26037977853425676</v>
      </c>
      <c r="N681" s="64">
        <v>5062.87</v>
      </c>
      <c r="O681" s="64" t="s">
        <v>18</v>
      </c>
    </row>
    <row r="682" spans="1:15" x14ac:dyDescent="0.3">
      <c r="A682" s="64">
        <v>681</v>
      </c>
      <c r="B682" s="64">
        <v>9441</v>
      </c>
      <c r="C682" s="64" t="s">
        <v>29</v>
      </c>
      <c r="D682" s="64" t="s">
        <v>20</v>
      </c>
      <c r="E682" s="64">
        <v>33347</v>
      </c>
      <c r="F682" s="64">
        <v>3</v>
      </c>
      <c r="G682" s="64">
        <v>100041</v>
      </c>
      <c r="H682" s="65">
        <v>45464</v>
      </c>
      <c r="I682" s="64" t="s">
        <v>30</v>
      </c>
      <c r="J682" s="64" t="s">
        <v>16</v>
      </c>
      <c r="K682" s="64" t="s">
        <v>17</v>
      </c>
      <c r="L682" s="64">
        <v>2.2999999999999998</v>
      </c>
      <c r="M682" s="66">
        <v>5.3544246858787899E-2</v>
      </c>
      <c r="N682" s="64">
        <v>24655.68</v>
      </c>
      <c r="O682" s="64" t="s">
        <v>22</v>
      </c>
    </row>
    <row r="683" spans="1:15" x14ac:dyDescent="0.3">
      <c r="A683" s="64">
        <v>682</v>
      </c>
      <c r="B683" s="64">
        <v>8055</v>
      </c>
      <c r="C683" s="64" t="s">
        <v>19</v>
      </c>
      <c r="D683" s="64" t="s">
        <v>14</v>
      </c>
      <c r="E683" s="64">
        <v>2482</v>
      </c>
      <c r="F683" s="64">
        <v>4</v>
      </c>
      <c r="G683" s="64">
        <v>9928</v>
      </c>
      <c r="H683" s="65">
        <v>45320</v>
      </c>
      <c r="I683" s="64" t="s">
        <v>15</v>
      </c>
      <c r="J683" s="64" t="s">
        <v>31</v>
      </c>
      <c r="K683" s="64" t="s">
        <v>28</v>
      </c>
      <c r="L683" s="64">
        <v>1</v>
      </c>
      <c r="M683" s="66">
        <v>0.11729351329572925</v>
      </c>
      <c r="N683" s="64">
        <v>1813.91</v>
      </c>
      <c r="O683" s="64" t="s">
        <v>18</v>
      </c>
    </row>
    <row r="684" spans="1:15" x14ac:dyDescent="0.3">
      <c r="A684" s="64">
        <v>683</v>
      </c>
      <c r="B684" s="64">
        <v>3771</v>
      </c>
      <c r="C684" s="64" t="s">
        <v>32</v>
      </c>
      <c r="D684" s="64" t="s">
        <v>25</v>
      </c>
      <c r="E684" s="64">
        <v>34849</v>
      </c>
      <c r="F684" s="64">
        <v>1</v>
      </c>
      <c r="G684" s="64">
        <v>34849</v>
      </c>
      <c r="H684" s="65">
        <v>45470</v>
      </c>
      <c r="I684" s="64" t="s">
        <v>15</v>
      </c>
      <c r="J684" s="64" t="s">
        <v>31</v>
      </c>
      <c r="K684" s="64" t="s">
        <v>17</v>
      </c>
      <c r="L684" s="64">
        <v>4.3</v>
      </c>
      <c r="M684" s="66">
        <v>0.14982180263422193</v>
      </c>
      <c r="N684" s="64">
        <v>5233.5600000000004</v>
      </c>
      <c r="O684" s="64" t="s">
        <v>18</v>
      </c>
    </row>
    <row r="685" spans="1:15" x14ac:dyDescent="0.3">
      <c r="A685" s="64">
        <v>684</v>
      </c>
      <c r="B685" s="64">
        <v>3770</v>
      </c>
      <c r="C685" s="64" t="s">
        <v>19</v>
      </c>
      <c r="D685" s="64" t="s">
        <v>14</v>
      </c>
      <c r="E685" s="64">
        <v>11448</v>
      </c>
      <c r="F685" s="64">
        <v>1</v>
      </c>
      <c r="G685" s="64">
        <v>11448</v>
      </c>
      <c r="H685" s="65">
        <v>45629</v>
      </c>
      <c r="I685" s="64" t="s">
        <v>15</v>
      </c>
      <c r="J685" s="64" t="s">
        <v>27</v>
      </c>
      <c r="K685" s="64" t="s">
        <v>17</v>
      </c>
      <c r="L685" s="64">
        <v>4.0999999999999996</v>
      </c>
      <c r="M685" s="66">
        <v>6.498777078965759E-2</v>
      </c>
      <c r="N685" s="64">
        <v>2690.42</v>
      </c>
      <c r="O685" s="64" t="s">
        <v>22</v>
      </c>
    </row>
    <row r="686" spans="1:15" x14ac:dyDescent="0.3">
      <c r="A686" s="64">
        <v>685</v>
      </c>
      <c r="B686" s="64">
        <v>3544</v>
      </c>
      <c r="C686" s="64" t="s">
        <v>29</v>
      </c>
      <c r="D686" s="64" t="s">
        <v>14</v>
      </c>
      <c r="E686" s="64">
        <v>7112</v>
      </c>
      <c r="F686" s="64">
        <v>3</v>
      </c>
      <c r="G686" s="64">
        <v>21336</v>
      </c>
      <c r="H686" s="65">
        <v>45355</v>
      </c>
      <c r="I686" s="64" t="s">
        <v>30</v>
      </c>
      <c r="J686" s="64" t="s">
        <v>35</v>
      </c>
      <c r="K686" s="64" t="s">
        <v>17</v>
      </c>
      <c r="L686" s="64">
        <v>2.6</v>
      </c>
      <c r="M686" s="66">
        <v>8.1530277465316839E-2</v>
      </c>
      <c r="N686" s="64">
        <v>4661.2700000000004</v>
      </c>
      <c r="O686" s="64" t="s">
        <v>22</v>
      </c>
    </row>
    <row r="687" spans="1:15" x14ac:dyDescent="0.3">
      <c r="A687" s="64">
        <v>686</v>
      </c>
      <c r="B687" s="64">
        <v>9455</v>
      </c>
      <c r="C687" s="64" t="s">
        <v>23</v>
      </c>
      <c r="D687" s="64" t="s">
        <v>20</v>
      </c>
      <c r="E687" s="64">
        <v>38374</v>
      </c>
      <c r="F687" s="64">
        <v>3</v>
      </c>
      <c r="G687" s="64">
        <v>115122</v>
      </c>
      <c r="H687" s="65">
        <v>45433</v>
      </c>
      <c r="I687" s="64" t="s">
        <v>30</v>
      </c>
      <c r="J687" s="64" t="s">
        <v>35</v>
      </c>
      <c r="K687" s="64" t="s">
        <v>24</v>
      </c>
      <c r="L687" s="64">
        <v>3.7</v>
      </c>
      <c r="M687" s="66">
        <v>5.6686037421170586E-2</v>
      </c>
      <c r="N687" s="64">
        <v>28010.79</v>
      </c>
      <c r="O687" s="64" t="s">
        <v>18</v>
      </c>
    </row>
    <row r="688" spans="1:15" x14ac:dyDescent="0.3">
      <c r="A688" s="64">
        <v>687</v>
      </c>
      <c r="B688" s="64">
        <v>1196</v>
      </c>
      <c r="C688" s="64" t="s">
        <v>34</v>
      </c>
      <c r="D688" s="64" t="s">
        <v>20</v>
      </c>
      <c r="E688" s="64">
        <v>40001</v>
      </c>
      <c r="F688" s="64">
        <v>3</v>
      </c>
      <c r="G688" s="64">
        <v>120003</v>
      </c>
      <c r="H688" s="65">
        <v>45398</v>
      </c>
      <c r="I688" s="64" t="s">
        <v>26</v>
      </c>
      <c r="J688" s="64" t="s">
        <v>27</v>
      </c>
      <c r="K688" s="64" t="s">
        <v>17</v>
      </c>
      <c r="L688" s="64">
        <v>4.5999999999999996</v>
      </c>
      <c r="M688" s="66">
        <v>0.25233969150771229</v>
      </c>
      <c r="N688" s="64">
        <v>5719.38</v>
      </c>
      <c r="O688" s="64" t="s">
        <v>18</v>
      </c>
    </row>
    <row r="689" spans="1:15" x14ac:dyDescent="0.3">
      <c r="A689" s="64">
        <v>688</v>
      </c>
      <c r="B689" s="64">
        <v>5008</v>
      </c>
      <c r="C689" s="64" t="s">
        <v>23</v>
      </c>
      <c r="D689" s="64" t="s">
        <v>14</v>
      </c>
      <c r="E689" s="64">
        <v>24521</v>
      </c>
      <c r="F689" s="64">
        <v>4</v>
      </c>
      <c r="G689" s="64">
        <v>98084</v>
      </c>
      <c r="H689" s="65">
        <v>45580</v>
      </c>
      <c r="I689" s="64" t="s">
        <v>26</v>
      </c>
      <c r="J689" s="64" t="s">
        <v>35</v>
      </c>
      <c r="K689" s="64" t="s">
        <v>17</v>
      </c>
      <c r="L689" s="64">
        <v>1.6</v>
      </c>
      <c r="M689" s="66">
        <v>0.16939194975735083</v>
      </c>
      <c r="N689" s="64">
        <v>12810.56</v>
      </c>
      <c r="O689" s="64" t="s">
        <v>18</v>
      </c>
    </row>
    <row r="690" spans="1:15" x14ac:dyDescent="0.3">
      <c r="A690" s="64">
        <v>689</v>
      </c>
      <c r="B690" s="64">
        <v>7902</v>
      </c>
      <c r="C690" s="64" t="s">
        <v>13</v>
      </c>
      <c r="D690" s="64" t="s">
        <v>20</v>
      </c>
      <c r="E690" s="64">
        <v>8727</v>
      </c>
      <c r="F690" s="64">
        <v>4</v>
      </c>
      <c r="G690" s="64">
        <v>34908</v>
      </c>
      <c r="H690" s="65">
        <v>45585</v>
      </c>
      <c r="I690" s="64" t="s">
        <v>26</v>
      </c>
      <c r="J690" s="64" t="s">
        <v>16</v>
      </c>
      <c r="K690" s="64" t="s">
        <v>28</v>
      </c>
      <c r="L690" s="64">
        <v>4.5</v>
      </c>
      <c r="M690" s="66">
        <v>0.27356995531110351</v>
      </c>
      <c r="N690" s="64">
        <v>922.62</v>
      </c>
      <c r="O690" s="64" t="s">
        <v>22</v>
      </c>
    </row>
    <row r="691" spans="1:15" x14ac:dyDescent="0.3">
      <c r="A691" s="64">
        <v>690</v>
      </c>
      <c r="B691" s="64">
        <v>7070</v>
      </c>
      <c r="C691" s="64" t="s">
        <v>32</v>
      </c>
      <c r="D691" s="64" t="s">
        <v>20</v>
      </c>
      <c r="E691" s="64">
        <v>1533</v>
      </c>
      <c r="F691" s="64">
        <v>3</v>
      </c>
      <c r="G691" s="64">
        <v>4599</v>
      </c>
      <c r="H691" s="65">
        <v>45339</v>
      </c>
      <c r="I691" s="64" t="s">
        <v>26</v>
      </c>
      <c r="J691" s="64" t="s">
        <v>16</v>
      </c>
      <c r="K691" s="64" t="s">
        <v>17</v>
      </c>
      <c r="L691" s="64">
        <v>2.4</v>
      </c>
      <c r="M691" s="66">
        <v>0.18228527940856709</v>
      </c>
      <c r="N691" s="64">
        <v>541.37</v>
      </c>
      <c r="O691" s="64" t="s">
        <v>22</v>
      </c>
    </row>
    <row r="692" spans="1:15" x14ac:dyDescent="0.3">
      <c r="A692" s="64">
        <v>691</v>
      </c>
      <c r="B692" s="64">
        <v>8658</v>
      </c>
      <c r="C692" s="64" t="s">
        <v>34</v>
      </c>
      <c r="D692" s="64" t="s">
        <v>20</v>
      </c>
      <c r="E692" s="64">
        <v>7378</v>
      </c>
      <c r="F692" s="64">
        <v>3</v>
      </c>
      <c r="G692" s="64">
        <v>22134</v>
      </c>
      <c r="H692" s="65">
        <v>45446</v>
      </c>
      <c r="I692" s="64" t="s">
        <v>33</v>
      </c>
      <c r="J692" s="64" t="s">
        <v>31</v>
      </c>
      <c r="K692" s="64" t="s">
        <v>24</v>
      </c>
      <c r="L692" s="64">
        <v>3.8</v>
      </c>
      <c r="M692" s="66">
        <v>0.27763757115749521</v>
      </c>
      <c r="N692" s="64">
        <v>494.97</v>
      </c>
      <c r="O692" s="64" t="s">
        <v>18</v>
      </c>
    </row>
    <row r="693" spans="1:15" x14ac:dyDescent="0.3">
      <c r="A693" s="64">
        <v>692</v>
      </c>
      <c r="B693" s="64">
        <v>7585</v>
      </c>
      <c r="C693" s="64" t="s">
        <v>32</v>
      </c>
      <c r="D693" s="64" t="s">
        <v>25</v>
      </c>
      <c r="E693" s="64">
        <v>26965</v>
      </c>
      <c r="F693" s="64">
        <v>2</v>
      </c>
      <c r="G693" s="64">
        <v>53930</v>
      </c>
      <c r="H693" s="65">
        <v>45535</v>
      </c>
      <c r="I693" s="64" t="s">
        <v>26</v>
      </c>
      <c r="J693" s="64" t="s">
        <v>21</v>
      </c>
      <c r="K693" s="64" t="s">
        <v>17</v>
      </c>
      <c r="L693" s="64">
        <v>4.0999999999999996</v>
      </c>
      <c r="M693" s="66">
        <v>0.2325343964398294</v>
      </c>
      <c r="N693" s="64">
        <v>3638.42</v>
      </c>
      <c r="O693" s="64" t="s">
        <v>18</v>
      </c>
    </row>
    <row r="694" spans="1:15" x14ac:dyDescent="0.3">
      <c r="A694" s="64">
        <v>693</v>
      </c>
      <c r="B694" s="64">
        <v>4439</v>
      </c>
      <c r="C694" s="64" t="s">
        <v>19</v>
      </c>
      <c r="D694" s="64" t="s">
        <v>25</v>
      </c>
      <c r="E694" s="64">
        <v>15643</v>
      </c>
      <c r="F694" s="64">
        <v>2</v>
      </c>
      <c r="G694" s="64">
        <v>31286</v>
      </c>
      <c r="H694" s="65">
        <v>45361</v>
      </c>
      <c r="I694" s="64" t="s">
        <v>33</v>
      </c>
      <c r="J694" s="64" t="s">
        <v>31</v>
      </c>
      <c r="K694" s="64" t="s">
        <v>24</v>
      </c>
      <c r="L694" s="64">
        <v>1.1000000000000001</v>
      </c>
      <c r="M694" s="66">
        <v>0.1750230134884613</v>
      </c>
      <c r="N694" s="64">
        <v>3910.03</v>
      </c>
      <c r="O694" s="64" t="s">
        <v>22</v>
      </c>
    </row>
    <row r="695" spans="1:15" x14ac:dyDescent="0.3">
      <c r="A695" s="64">
        <v>694</v>
      </c>
      <c r="B695" s="64">
        <v>9646</v>
      </c>
      <c r="C695" s="64" t="s">
        <v>19</v>
      </c>
      <c r="D695" s="64" t="s">
        <v>20</v>
      </c>
      <c r="E695" s="64">
        <v>31510</v>
      </c>
      <c r="F695" s="64">
        <v>2</v>
      </c>
      <c r="G695" s="64">
        <v>63020</v>
      </c>
      <c r="H695" s="65">
        <v>45650</v>
      </c>
      <c r="I695" s="64" t="s">
        <v>26</v>
      </c>
      <c r="J695" s="64" t="s">
        <v>16</v>
      </c>
      <c r="K695" s="64" t="s">
        <v>28</v>
      </c>
      <c r="L695" s="64">
        <v>1.6</v>
      </c>
      <c r="M695" s="66">
        <v>0.11607108854331959</v>
      </c>
      <c r="N695" s="64">
        <v>11591.2</v>
      </c>
      <c r="O695" s="64" t="s">
        <v>18</v>
      </c>
    </row>
    <row r="696" spans="1:15" x14ac:dyDescent="0.3">
      <c r="A696" s="64">
        <v>695</v>
      </c>
      <c r="B696" s="64">
        <v>9110</v>
      </c>
      <c r="C696" s="64" t="s">
        <v>19</v>
      </c>
      <c r="D696" s="64" t="s">
        <v>14</v>
      </c>
      <c r="E696" s="64">
        <v>46135</v>
      </c>
      <c r="F696" s="64">
        <v>1</v>
      </c>
      <c r="G696" s="64">
        <v>46135</v>
      </c>
      <c r="H696" s="65">
        <v>45364</v>
      </c>
      <c r="I696" s="64" t="s">
        <v>33</v>
      </c>
      <c r="J696" s="64" t="s">
        <v>35</v>
      </c>
      <c r="K696" s="64" t="s">
        <v>28</v>
      </c>
      <c r="L696" s="64">
        <v>3.8</v>
      </c>
      <c r="M696" s="66">
        <v>5.8873956865720174E-2</v>
      </c>
      <c r="N696" s="64">
        <v>11124.35</v>
      </c>
      <c r="O696" s="64" t="s">
        <v>22</v>
      </c>
    </row>
    <row r="697" spans="1:15" x14ac:dyDescent="0.3">
      <c r="A697" s="64">
        <v>696</v>
      </c>
      <c r="B697" s="64">
        <v>1955</v>
      </c>
      <c r="C697" s="64" t="s">
        <v>23</v>
      </c>
      <c r="D697" s="64" t="s">
        <v>14</v>
      </c>
      <c r="E697" s="64">
        <v>21103</v>
      </c>
      <c r="F697" s="64">
        <v>2</v>
      </c>
      <c r="G697" s="64">
        <v>42206</v>
      </c>
      <c r="H697" s="65">
        <v>45292</v>
      </c>
      <c r="I697" s="64" t="s">
        <v>15</v>
      </c>
      <c r="J697" s="64" t="s">
        <v>16</v>
      </c>
      <c r="K697" s="64" t="s">
        <v>24</v>
      </c>
      <c r="L697" s="64">
        <v>1.3</v>
      </c>
      <c r="M697" s="66">
        <v>0.23638748045301614</v>
      </c>
      <c r="N697" s="64">
        <v>2684.83</v>
      </c>
      <c r="O697" s="64" t="s">
        <v>18</v>
      </c>
    </row>
    <row r="698" spans="1:15" x14ac:dyDescent="0.3">
      <c r="A698" s="64">
        <v>697</v>
      </c>
      <c r="B698" s="64">
        <v>1475</v>
      </c>
      <c r="C698" s="64" t="s">
        <v>29</v>
      </c>
      <c r="D698" s="64" t="s">
        <v>25</v>
      </c>
      <c r="E698" s="64">
        <v>17363</v>
      </c>
      <c r="F698" s="64">
        <v>2</v>
      </c>
      <c r="G698" s="64">
        <v>34726</v>
      </c>
      <c r="H698" s="65">
        <v>45657</v>
      </c>
      <c r="I698" s="64" t="s">
        <v>30</v>
      </c>
      <c r="J698" s="64" t="s">
        <v>35</v>
      </c>
      <c r="K698" s="64" t="s">
        <v>17</v>
      </c>
      <c r="L698" s="64">
        <v>5</v>
      </c>
      <c r="M698" s="66">
        <v>0.27838247998617754</v>
      </c>
      <c r="N698" s="64">
        <v>750.69</v>
      </c>
      <c r="O698" s="64" t="s">
        <v>22</v>
      </c>
    </row>
    <row r="699" spans="1:15" x14ac:dyDescent="0.3">
      <c r="A699" s="64">
        <v>698</v>
      </c>
      <c r="B699" s="64">
        <v>3159</v>
      </c>
      <c r="C699" s="64" t="s">
        <v>29</v>
      </c>
      <c r="D699" s="64" t="s">
        <v>20</v>
      </c>
      <c r="E699" s="64">
        <v>7074</v>
      </c>
      <c r="F699" s="64">
        <v>5</v>
      </c>
      <c r="G699" s="64">
        <v>35370</v>
      </c>
      <c r="H699" s="65">
        <v>45489</v>
      </c>
      <c r="I699" s="64" t="s">
        <v>15</v>
      </c>
      <c r="J699" s="64" t="s">
        <v>21</v>
      </c>
      <c r="K699" s="64" t="s">
        <v>28</v>
      </c>
      <c r="L699" s="64">
        <v>4.7</v>
      </c>
      <c r="M699" s="66">
        <v>0.11256997455470738</v>
      </c>
      <c r="N699" s="64">
        <v>6629.4</v>
      </c>
      <c r="O699" s="64" t="s">
        <v>18</v>
      </c>
    </row>
    <row r="700" spans="1:15" x14ac:dyDescent="0.3">
      <c r="A700" s="64">
        <v>699</v>
      </c>
      <c r="B700" s="64">
        <v>1394</v>
      </c>
      <c r="C700" s="64" t="s">
        <v>29</v>
      </c>
      <c r="D700" s="64" t="s">
        <v>25</v>
      </c>
      <c r="E700" s="64">
        <v>37942</v>
      </c>
      <c r="F700" s="64">
        <v>3</v>
      </c>
      <c r="G700" s="64">
        <v>113826</v>
      </c>
      <c r="H700" s="65">
        <v>45550</v>
      </c>
      <c r="I700" s="64" t="s">
        <v>33</v>
      </c>
      <c r="J700" s="64" t="s">
        <v>35</v>
      </c>
      <c r="K700" s="64" t="s">
        <v>24</v>
      </c>
      <c r="L700" s="64">
        <v>2.9</v>
      </c>
      <c r="M700" s="66">
        <v>0.24423883822676717</v>
      </c>
      <c r="N700" s="64">
        <v>6347.07</v>
      </c>
      <c r="O700" s="64" t="s">
        <v>18</v>
      </c>
    </row>
    <row r="701" spans="1:15" x14ac:dyDescent="0.3">
      <c r="A701" s="64">
        <v>700</v>
      </c>
      <c r="B701" s="64">
        <v>5045</v>
      </c>
      <c r="C701" s="64" t="s">
        <v>29</v>
      </c>
      <c r="D701" s="64" t="s">
        <v>20</v>
      </c>
      <c r="E701" s="64">
        <v>31263</v>
      </c>
      <c r="F701" s="64">
        <v>2</v>
      </c>
      <c r="G701" s="64">
        <v>62526</v>
      </c>
      <c r="H701" s="65">
        <v>45426</v>
      </c>
      <c r="I701" s="64" t="s">
        <v>26</v>
      </c>
      <c r="J701" s="64" t="s">
        <v>16</v>
      </c>
      <c r="K701" s="64" t="s">
        <v>17</v>
      </c>
      <c r="L701" s="64">
        <v>4.3</v>
      </c>
      <c r="M701" s="66">
        <v>0.29022246745353936</v>
      </c>
      <c r="N701" s="64">
        <v>611.35</v>
      </c>
      <c r="O701" s="64" t="s">
        <v>22</v>
      </c>
    </row>
    <row r="702" spans="1:15" x14ac:dyDescent="0.3">
      <c r="A702" s="64">
        <v>701</v>
      </c>
      <c r="B702" s="64">
        <v>1719</v>
      </c>
      <c r="C702" s="64" t="s">
        <v>32</v>
      </c>
      <c r="D702" s="64" t="s">
        <v>20</v>
      </c>
      <c r="E702" s="64">
        <v>49006</v>
      </c>
      <c r="F702" s="64">
        <v>5</v>
      </c>
      <c r="G702" s="64">
        <v>245030</v>
      </c>
      <c r="H702" s="65">
        <v>45495</v>
      </c>
      <c r="I702" s="64" t="s">
        <v>30</v>
      </c>
      <c r="J702" s="64" t="s">
        <v>35</v>
      </c>
      <c r="K702" s="64" t="s">
        <v>17</v>
      </c>
      <c r="L702" s="64">
        <v>4.4000000000000004</v>
      </c>
      <c r="M702" s="66">
        <v>0.10417720279149492</v>
      </c>
      <c r="N702" s="64">
        <v>47982.46</v>
      </c>
      <c r="O702" s="64" t="s">
        <v>22</v>
      </c>
    </row>
    <row r="703" spans="1:15" x14ac:dyDescent="0.3">
      <c r="A703" s="64">
        <v>702</v>
      </c>
      <c r="B703" s="64">
        <v>6345</v>
      </c>
      <c r="C703" s="64" t="s">
        <v>32</v>
      </c>
      <c r="D703" s="64" t="s">
        <v>20</v>
      </c>
      <c r="E703" s="64">
        <v>12737</v>
      </c>
      <c r="F703" s="64">
        <v>2</v>
      </c>
      <c r="G703" s="64">
        <v>25474</v>
      </c>
      <c r="H703" s="65">
        <v>45572</v>
      </c>
      <c r="I703" s="64" t="s">
        <v>33</v>
      </c>
      <c r="J703" s="64" t="s">
        <v>16</v>
      </c>
      <c r="K703" s="64" t="s">
        <v>28</v>
      </c>
      <c r="L703" s="64">
        <v>3.3</v>
      </c>
      <c r="M703" s="66">
        <v>0.21011030854989401</v>
      </c>
      <c r="N703" s="64">
        <v>2289.85</v>
      </c>
      <c r="O703" s="64" t="s">
        <v>22</v>
      </c>
    </row>
    <row r="704" spans="1:15" x14ac:dyDescent="0.3">
      <c r="A704" s="64">
        <v>703</v>
      </c>
      <c r="B704" s="64">
        <v>3659</v>
      </c>
      <c r="C704" s="64" t="s">
        <v>34</v>
      </c>
      <c r="D704" s="64" t="s">
        <v>14</v>
      </c>
      <c r="E704" s="64">
        <v>35213</v>
      </c>
      <c r="F704" s="64">
        <v>4</v>
      </c>
      <c r="G704" s="64">
        <v>140852</v>
      </c>
      <c r="H704" s="65">
        <v>45407</v>
      </c>
      <c r="I704" s="64" t="s">
        <v>26</v>
      </c>
      <c r="J704" s="64" t="s">
        <v>21</v>
      </c>
      <c r="K704" s="64" t="s">
        <v>24</v>
      </c>
      <c r="L704" s="64">
        <v>4</v>
      </c>
      <c r="M704" s="66">
        <v>0.25092132167097375</v>
      </c>
      <c r="N704" s="64">
        <v>6912.83</v>
      </c>
      <c r="O704" s="64" t="s">
        <v>18</v>
      </c>
    </row>
    <row r="705" spans="1:15" x14ac:dyDescent="0.3">
      <c r="A705" s="64">
        <v>704</v>
      </c>
      <c r="B705" s="64">
        <v>5306</v>
      </c>
      <c r="C705" s="64" t="s">
        <v>32</v>
      </c>
      <c r="D705" s="64" t="s">
        <v>14</v>
      </c>
      <c r="E705" s="64">
        <v>6188</v>
      </c>
      <c r="F705" s="64">
        <v>5</v>
      </c>
      <c r="G705" s="64">
        <v>30940</v>
      </c>
      <c r="H705" s="65">
        <v>45576</v>
      </c>
      <c r="I705" s="64" t="s">
        <v>30</v>
      </c>
      <c r="J705" s="64" t="s">
        <v>27</v>
      </c>
      <c r="K705" s="64" t="s">
        <v>24</v>
      </c>
      <c r="L705" s="64">
        <v>2.2999999999999998</v>
      </c>
      <c r="M705" s="66">
        <v>0.26553393665158376</v>
      </c>
      <c r="N705" s="64">
        <v>1066.3800000000001</v>
      </c>
      <c r="O705" s="64" t="s">
        <v>22</v>
      </c>
    </row>
    <row r="706" spans="1:15" x14ac:dyDescent="0.3">
      <c r="A706" s="64">
        <v>705</v>
      </c>
      <c r="B706" s="64">
        <v>5846</v>
      </c>
      <c r="C706" s="64" t="s">
        <v>32</v>
      </c>
      <c r="D706" s="64" t="s">
        <v>14</v>
      </c>
      <c r="E706" s="64">
        <v>18956</v>
      </c>
      <c r="F706" s="64">
        <v>2</v>
      </c>
      <c r="G706" s="64">
        <v>37912</v>
      </c>
      <c r="H706" s="65">
        <v>45540</v>
      </c>
      <c r="I706" s="64" t="s">
        <v>30</v>
      </c>
      <c r="J706" s="64" t="s">
        <v>16</v>
      </c>
      <c r="K706" s="64" t="s">
        <v>28</v>
      </c>
      <c r="L706" s="64">
        <v>3.8</v>
      </c>
      <c r="M706" s="66">
        <v>0.15212122810719561</v>
      </c>
      <c r="N706" s="64">
        <v>5606.38</v>
      </c>
      <c r="O706" s="64" t="s">
        <v>18</v>
      </c>
    </row>
    <row r="707" spans="1:15" x14ac:dyDescent="0.3">
      <c r="A707" s="64">
        <v>706</v>
      </c>
      <c r="B707" s="64">
        <v>4912</v>
      </c>
      <c r="C707" s="64" t="s">
        <v>32</v>
      </c>
      <c r="D707" s="64" t="s">
        <v>14</v>
      </c>
      <c r="E707" s="64">
        <v>5668</v>
      </c>
      <c r="F707" s="64">
        <v>1</v>
      </c>
      <c r="G707" s="64">
        <v>5668</v>
      </c>
      <c r="H707" s="65">
        <v>45432</v>
      </c>
      <c r="I707" s="64" t="s">
        <v>26</v>
      </c>
      <c r="J707" s="64" t="s">
        <v>21</v>
      </c>
      <c r="K707" s="64" t="s">
        <v>17</v>
      </c>
      <c r="L707" s="64">
        <v>3.2</v>
      </c>
      <c r="M707" s="66">
        <v>0.17986591390261114</v>
      </c>
      <c r="N707" s="64">
        <v>680.92</v>
      </c>
      <c r="O707" s="64" t="s">
        <v>22</v>
      </c>
    </row>
    <row r="708" spans="1:15" x14ac:dyDescent="0.3">
      <c r="A708" s="64">
        <v>707</v>
      </c>
      <c r="B708" s="64">
        <v>2821</v>
      </c>
      <c r="C708" s="64" t="s">
        <v>32</v>
      </c>
      <c r="D708" s="64" t="s">
        <v>25</v>
      </c>
      <c r="E708" s="64">
        <v>45840</v>
      </c>
      <c r="F708" s="64">
        <v>4</v>
      </c>
      <c r="G708" s="64">
        <v>183360</v>
      </c>
      <c r="H708" s="65">
        <v>45640</v>
      </c>
      <c r="I708" s="64" t="s">
        <v>15</v>
      </c>
      <c r="J708" s="64" t="s">
        <v>16</v>
      </c>
      <c r="K708" s="64" t="s">
        <v>28</v>
      </c>
      <c r="L708" s="64">
        <v>3</v>
      </c>
      <c r="M708" s="66">
        <v>6.6451952443280976E-2</v>
      </c>
      <c r="N708" s="64">
        <v>42823.37</v>
      </c>
      <c r="O708" s="64" t="s">
        <v>22</v>
      </c>
    </row>
    <row r="709" spans="1:15" x14ac:dyDescent="0.3">
      <c r="A709" s="64">
        <v>708</v>
      </c>
      <c r="B709" s="64">
        <v>4967</v>
      </c>
      <c r="C709" s="64" t="s">
        <v>29</v>
      </c>
      <c r="D709" s="64" t="s">
        <v>25</v>
      </c>
      <c r="E709" s="64">
        <v>42311</v>
      </c>
      <c r="F709" s="64">
        <v>3</v>
      </c>
      <c r="G709" s="64">
        <v>126933</v>
      </c>
      <c r="H709" s="65">
        <v>45423</v>
      </c>
      <c r="I709" s="64" t="s">
        <v>30</v>
      </c>
      <c r="J709" s="64" t="s">
        <v>27</v>
      </c>
      <c r="K709" s="64" t="s">
        <v>24</v>
      </c>
      <c r="L709" s="64">
        <v>4.2</v>
      </c>
      <c r="M709" s="66">
        <v>0.23587026226434418</v>
      </c>
      <c r="N709" s="64">
        <v>8140.18</v>
      </c>
      <c r="O709" s="64" t="s">
        <v>18</v>
      </c>
    </row>
    <row r="710" spans="1:15" x14ac:dyDescent="0.3">
      <c r="A710" s="64">
        <v>709</v>
      </c>
      <c r="B710" s="64">
        <v>5583</v>
      </c>
      <c r="C710" s="64" t="s">
        <v>19</v>
      </c>
      <c r="D710" s="64" t="s">
        <v>14</v>
      </c>
      <c r="E710" s="64">
        <v>4958</v>
      </c>
      <c r="F710" s="64">
        <v>2</v>
      </c>
      <c r="G710" s="64">
        <v>9916</v>
      </c>
      <c r="H710" s="65">
        <v>45601</v>
      </c>
      <c r="I710" s="64" t="s">
        <v>30</v>
      </c>
      <c r="J710" s="64" t="s">
        <v>31</v>
      </c>
      <c r="K710" s="64" t="s">
        <v>17</v>
      </c>
      <c r="L710" s="64">
        <v>4.5</v>
      </c>
      <c r="M710" s="66">
        <v>0.1397408229124647</v>
      </c>
      <c r="N710" s="64">
        <v>1589.13</v>
      </c>
      <c r="O710" s="64" t="s">
        <v>18</v>
      </c>
    </row>
    <row r="711" spans="1:15" x14ac:dyDescent="0.3">
      <c r="A711" s="64">
        <v>710</v>
      </c>
      <c r="B711" s="64">
        <v>4594</v>
      </c>
      <c r="C711" s="64" t="s">
        <v>13</v>
      </c>
      <c r="D711" s="64" t="s">
        <v>14</v>
      </c>
      <c r="E711" s="64">
        <v>34187</v>
      </c>
      <c r="F711" s="64">
        <v>1</v>
      </c>
      <c r="G711" s="64">
        <v>34187</v>
      </c>
      <c r="H711" s="65">
        <v>45550</v>
      </c>
      <c r="I711" s="64" t="s">
        <v>26</v>
      </c>
      <c r="J711" s="64" t="s">
        <v>31</v>
      </c>
      <c r="K711" s="64" t="s">
        <v>24</v>
      </c>
      <c r="L711" s="64">
        <v>4.8</v>
      </c>
      <c r="M711" s="66">
        <v>0.15593149442770643</v>
      </c>
      <c r="N711" s="64">
        <v>4925.2700000000004</v>
      </c>
      <c r="O711" s="64" t="s">
        <v>18</v>
      </c>
    </row>
    <row r="712" spans="1:15" x14ac:dyDescent="0.3">
      <c r="A712" s="64">
        <v>711</v>
      </c>
      <c r="B712" s="64">
        <v>8193</v>
      </c>
      <c r="C712" s="64" t="s">
        <v>13</v>
      </c>
      <c r="D712" s="64" t="s">
        <v>20</v>
      </c>
      <c r="E712" s="64">
        <v>8210</v>
      </c>
      <c r="F712" s="64">
        <v>1</v>
      </c>
      <c r="G712" s="64">
        <v>8210</v>
      </c>
      <c r="H712" s="65">
        <v>45508</v>
      </c>
      <c r="I712" s="64" t="s">
        <v>26</v>
      </c>
      <c r="J712" s="64" t="s">
        <v>27</v>
      </c>
      <c r="K712" s="64" t="s">
        <v>17</v>
      </c>
      <c r="L712" s="64">
        <v>4.4000000000000004</v>
      </c>
      <c r="M712" s="66">
        <v>0.10375395858708893</v>
      </c>
      <c r="N712" s="64">
        <v>1611.18</v>
      </c>
      <c r="O712" s="64" t="s">
        <v>22</v>
      </c>
    </row>
    <row r="713" spans="1:15" x14ac:dyDescent="0.3">
      <c r="A713" s="64">
        <v>712</v>
      </c>
      <c r="B713" s="64">
        <v>6220</v>
      </c>
      <c r="C713" s="64" t="s">
        <v>34</v>
      </c>
      <c r="D713" s="64" t="s">
        <v>25</v>
      </c>
      <c r="E713" s="64">
        <v>30624</v>
      </c>
      <c r="F713" s="64">
        <v>2</v>
      </c>
      <c r="G713" s="64">
        <v>61248</v>
      </c>
      <c r="H713" s="65">
        <v>45398</v>
      </c>
      <c r="I713" s="64" t="s">
        <v>15</v>
      </c>
      <c r="J713" s="64" t="s">
        <v>35</v>
      </c>
      <c r="K713" s="64" t="s">
        <v>17</v>
      </c>
      <c r="L713" s="64">
        <v>1.7</v>
      </c>
      <c r="M713" s="66">
        <v>0.1992641392371996</v>
      </c>
      <c r="N713" s="64">
        <v>6169.87</v>
      </c>
      <c r="O713" s="64" t="s">
        <v>22</v>
      </c>
    </row>
    <row r="714" spans="1:15" x14ac:dyDescent="0.3">
      <c r="A714" s="64">
        <v>713</v>
      </c>
      <c r="B714" s="64">
        <v>1593</v>
      </c>
      <c r="C714" s="64" t="s">
        <v>23</v>
      </c>
      <c r="D714" s="64" t="s">
        <v>20</v>
      </c>
      <c r="E714" s="64">
        <v>34494</v>
      </c>
      <c r="F714" s="64">
        <v>1</v>
      </c>
      <c r="G714" s="64">
        <v>34494</v>
      </c>
      <c r="H714" s="65">
        <v>45380</v>
      </c>
      <c r="I714" s="64" t="s">
        <v>26</v>
      </c>
      <c r="J714" s="64" t="s">
        <v>16</v>
      </c>
      <c r="K714" s="64" t="s">
        <v>17</v>
      </c>
      <c r="L714" s="64">
        <v>1.1000000000000001</v>
      </c>
      <c r="M714" s="66">
        <v>0.18899315823041687</v>
      </c>
      <c r="N714" s="64">
        <v>3829.07</v>
      </c>
      <c r="O714" s="64" t="s">
        <v>22</v>
      </c>
    </row>
    <row r="715" spans="1:15" x14ac:dyDescent="0.3">
      <c r="A715" s="64">
        <v>714</v>
      </c>
      <c r="B715" s="64">
        <v>7228</v>
      </c>
      <c r="C715" s="64" t="s">
        <v>34</v>
      </c>
      <c r="D715" s="64" t="s">
        <v>25</v>
      </c>
      <c r="E715" s="64">
        <v>14070</v>
      </c>
      <c r="F715" s="64">
        <v>5</v>
      </c>
      <c r="G715" s="64">
        <v>70350</v>
      </c>
      <c r="H715" s="65">
        <v>45614</v>
      </c>
      <c r="I715" s="64" t="s">
        <v>26</v>
      </c>
      <c r="J715" s="64" t="s">
        <v>35</v>
      </c>
      <c r="K715" s="64" t="s">
        <v>24</v>
      </c>
      <c r="L715" s="64">
        <v>2.2999999999999998</v>
      </c>
      <c r="M715" s="66">
        <v>0.14060852878464819</v>
      </c>
      <c r="N715" s="64">
        <v>11213.19</v>
      </c>
      <c r="O715" s="64" t="s">
        <v>22</v>
      </c>
    </row>
    <row r="716" spans="1:15" x14ac:dyDescent="0.3">
      <c r="A716" s="64">
        <v>715</v>
      </c>
      <c r="B716" s="64">
        <v>8770</v>
      </c>
      <c r="C716" s="64" t="s">
        <v>13</v>
      </c>
      <c r="D716" s="64" t="s">
        <v>14</v>
      </c>
      <c r="E716" s="64">
        <v>17269</v>
      </c>
      <c r="F716" s="64">
        <v>5</v>
      </c>
      <c r="G716" s="64">
        <v>86345</v>
      </c>
      <c r="H716" s="65">
        <v>45424</v>
      </c>
      <c r="I716" s="64" t="s">
        <v>33</v>
      </c>
      <c r="J716" s="64" t="s">
        <v>35</v>
      </c>
      <c r="K716" s="64" t="s">
        <v>28</v>
      </c>
      <c r="L716" s="64">
        <v>4.9000000000000004</v>
      </c>
      <c r="M716" s="66">
        <v>0.19617267936765301</v>
      </c>
      <c r="N716" s="64">
        <v>8964.9699999999993</v>
      </c>
      <c r="O716" s="64" t="s">
        <v>18</v>
      </c>
    </row>
    <row r="717" spans="1:15" x14ac:dyDescent="0.3">
      <c r="A717" s="64">
        <v>716</v>
      </c>
      <c r="B717" s="64">
        <v>1875</v>
      </c>
      <c r="C717" s="64" t="s">
        <v>23</v>
      </c>
      <c r="D717" s="64" t="s">
        <v>25</v>
      </c>
      <c r="E717" s="64">
        <v>42983</v>
      </c>
      <c r="F717" s="64">
        <v>5</v>
      </c>
      <c r="G717" s="64">
        <v>214915</v>
      </c>
      <c r="H717" s="65">
        <v>45297</v>
      </c>
      <c r="I717" s="64" t="s">
        <v>26</v>
      </c>
      <c r="J717" s="64" t="s">
        <v>35</v>
      </c>
      <c r="K717" s="64" t="s">
        <v>28</v>
      </c>
      <c r="L717" s="64">
        <v>3.7</v>
      </c>
      <c r="M717" s="66">
        <v>0.26111160226135915</v>
      </c>
      <c r="N717" s="64">
        <v>8357.7000000000007</v>
      </c>
      <c r="O717" s="64" t="s">
        <v>22</v>
      </c>
    </row>
    <row r="718" spans="1:15" x14ac:dyDescent="0.3">
      <c r="A718" s="64">
        <v>717</v>
      </c>
      <c r="B718" s="64">
        <v>2796</v>
      </c>
      <c r="C718" s="64" t="s">
        <v>19</v>
      </c>
      <c r="D718" s="64" t="s">
        <v>14</v>
      </c>
      <c r="E718" s="64">
        <v>16892</v>
      </c>
      <c r="F718" s="64">
        <v>3</v>
      </c>
      <c r="G718" s="64">
        <v>50676</v>
      </c>
      <c r="H718" s="65">
        <v>45544</v>
      </c>
      <c r="I718" s="64" t="s">
        <v>30</v>
      </c>
      <c r="J718" s="64" t="s">
        <v>21</v>
      </c>
      <c r="K718" s="64" t="s">
        <v>17</v>
      </c>
      <c r="L718" s="64">
        <v>2.4</v>
      </c>
      <c r="M718" s="66">
        <v>0.16407865656326467</v>
      </c>
      <c r="N718" s="64">
        <v>6887.95</v>
      </c>
      <c r="O718" s="64" t="s">
        <v>22</v>
      </c>
    </row>
    <row r="719" spans="1:15" x14ac:dyDescent="0.3">
      <c r="A719" s="64">
        <v>718</v>
      </c>
      <c r="B719" s="64">
        <v>8469</v>
      </c>
      <c r="C719" s="64" t="s">
        <v>23</v>
      </c>
      <c r="D719" s="64" t="s">
        <v>25</v>
      </c>
      <c r="E719" s="64">
        <v>24650</v>
      </c>
      <c r="F719" s="64">
        <v>3</v>
      </c>
      <c r="G719" s="64">
        <v>73950</v>
      </c>
      <c r="H719" s="65">
        <v>45303</v>
      </c>
      <c r="I719" s="64" t="s">
        <v>15</v>
      </c>
      <c r="J719" s="64" t="s">
        <v>27</v>
      </c>
      <c r="K719" s="64" t="s">
        <v>28</v>
      </c>
      <c r="L719" s="64">
        <v>2.2999999999999998</v>
      </c>
      <c r="M719" s="66">
        <v>0.15446436781609194</v>
      </c>
      <c r="N719" s="64">
        <v>10762.36</v>
      </c>
      <c r="O719" s="64" t="s">
        <v>22</v>
      </c>
    </row>
    <row r="720" spans="1:15" x14ac:dyDescent="0.3">
      <c r="A720" s="64">
        <v>719</v>
      </c>
      <c r="B720" s="64">
        <v>9490</v>
      </c>
      <c r="C720" s="64" t="s">
        <v>23</v>
      </c>
      <c r="D720" s="64" t="s">
        <v>25</v>
      </c>
      <c r="E720" s="64">
        <v>8011</v>
      </c>
      <c r="F720" s="64">
        <v>1</v>
      </c>
      <c r="G720" s="64">
        <v>8011</v>
      </c>
      <c r="H720" s="65">
        <v>45438</v>
      </c>
      <c r="I720" s="64" t="s">
        <v>30</v>
      </c>
      <c r="J720" s="64" t="s">
        <v>21</v>
      </c>
      <c r="K720" s="64" t="s">
        <v>17</v>
      </c>
      <c r="L720" s="64">
        <v>1</v>
      </c>
      <c r="M720" s="66">
        <v>0.17519535638497066</v>
      </c>
      <c r="N720" s="64">
        <v>999.81</v>
      </c>
      <c r="O720" s="64" t="s">
        <v>22</v>
      </c>
    </row>
    <row r="721" spans="1:15" x14ac:dyDescent="0.3">
      <c r="A721" s="64">
        <v>720</v>
      </c>
      <c r="B721" s="64">
        <v>2096</v>
      </c>
      <c r="C721" s="64" t="s">
        <v>19</v>
      </c>
      <c r="D721" s="64" t="s">
        <v>20</v>
      </c>
      <c r="E721" s="64">
        <v>10525</v>
      </c>
      <c r="F721" s="64">
        <v>3</v>
      </c>
      <c r="G721" s="64">
        <v>31575</v>
      </c>
      <c r="H721" s="65">
        <v>45649</v>
      </c>
      <c r="I721" s="64" t="s">
        <v>26</v>
      </c>
      <c r="J721" s="64" t="s">
        <v>31</v>
      </c>
      <c r="K721" s="64" t="s">
        <v>17</v>
      </c>
      <c r="L721" s="64">
        <v>2.9</v>
      </c>
      <c r="M721" s="66">
        <v>0.25636357878068095</v>
      </c>
      <c r="N721" s="64">
        <v>1377.82</v>
      </c>
      <c r="O721" s="64" t="s">
        <v>18</v>
      </c>
    </row>
    <row r="722" spans="1:15" x14ac:dyDescent="0.3">
      <c r="A722" s="64">
        <v>721</v>
      </c>
      <c r="B722" s="64">
        <v>6177</v>
      </c>
      <c r="C722" s="64" t="s">
        <v>29</v>
      </c>
      <c r="D722" s="64" t="s">
        <v>25</v>
      </c>
      <c r="E722" s="64">
        <v>20099</v>
      </c>
      <c r="F722" s="64">
        <v>5</v>
      </c>
      <c r="G722" s="64">
        <v>100495</v>
      </c>
      <c r="H722" s="65">
        <v>45447</v>
      </c>
      <c r="I722" s="64" t="s">
        <v>15</v>
      </c>
      <c r="J722" s="64" t="s">
        <v>21</v>
      </c>
      <c r="K722" s="64" t="s">
        <v>17</v>
      </c>
      <c r="L722" s="64">
        <v>3.2</v>
      </c>
      <c r="M722" s="66">
        <v>6.0360913478282506E-2</v>
      </c>
      <c r="N722" s="64">
        <v>24082.53</v>
      </c>
      <c r="O722" s="64" t="s">
        <v>18</v>
      </c>
    </row>
    <row r="723" spans="1:15" x14ac:dyDescent="0.3">
      <c r="A723" s="64">
        <v>722</v>
      </c>
      <c r="B723" s="64">
        <v>1982</v>
      </c>
      <c r="C723" s="64" t="s">
        <v>13</v>
      </c>
      <c r="D723" s="64" t="s">
        <v>14</v>
      </c>
      <c r="E723" s="64">
        <v>29586</v>
      </c>
      <c r="F723" s="64">
        <v>3</v>
      </c>
      <c r="G723" s="64">
        <v>88758</v>
      </c>
      <c r="H723" s="65">
        <v>45305</v>
      </c>
      <c r="I723" s="64" t="s">
        <v>26</v>
      </c>
      <c r="J723" s="64" t="s">
        <v>16</v>
      </c>
      <c r="K723" s="64" t="s">
        <v>17</v>
      </c>
      <c r="L723" s="64">
        <v>2.7</v>
      </c>
      <c r="M723" s="66">
        <v>0.27258872439667409</v>
      </c>
      <c r="N723" s="64">
        <v>2432.9699999999998</v>
      </c>
      <c r="O723" s="64" t="s">
        <v>22</v>
      </c>
    </row>
    <row r="724" spans="1:15" x14ac:dyDescent="0.3">
      <c r="A724" s="64">
        <v>723</v>
      </c>
      <c r="B724" s="64">
        <v>1386</v>
      </c>
      <c r="C724" s="64" t="s">
        <v>29</v>
      </c>
      <c r="D724" s="64" t="s">
        <v>25</v>
      </c>
      <c r="E724" s="64">
        <v>23839</v>
      </c>
      <c r="F724" s="64">
        <v>3</v>
      </c>
      <c r="G724" s="64">
        <v>71517</v>
      </c>
      <c r="H724" s="65">
        <v>45430</v>
      </c>
      <c r="I724" s="64" t="s">
        <v>30</v>
      </c>
      <c r="J724" s="64" t="s">
        <v>27</v>
      </c>
      <c r="K724" s="64" t="s">
        <v>28</v>
      </c>
      <c r="L724" s="64">
        <v>2.6</v>
      </c>
      <c r="M724" s="66">
        <v>0.23973097305535748</v>
      </c>
      <c r="N724" s="64">
        <v>4310.26</v>
      </c>
      <c r="O724" s="64" t="s">
        <v>22</v>
      </c>
    </row>
    <row r="725" spans="1:15" x14ac:dyDescent="0.3">
      <c r="A725" s="64">
        <v>724</v>
      </c>
      <c r="B725" s="64">
        <v>9776</v>
      </c>
      <c r="C725" s="64" t="s">
        <v>29</v>
      </c>
      <c r="D725" s="64" t="s">
        <v>25</v>
      </c>
      <c r="E725" s="64">
        <v>25147</v>
      </c>
      <c r="F725" s="64">
        <v>1</v>
      </c>
      <c r="G725" s="64">
        <v>25147</v>
      </c>
      <c r="H725" s="65">
        <v>45528</v>
      </c>
      <c r="I725" s="64" t="s">
        <v>30</v>
      </c>
      <c r="J725" s="64" t="s">
        <v>35</v>
      </c>
      <c r="K725" s="64" t="s">
        <v>24</v>
      </c>
      <c r="L725" s="64">
        <v>4.4000000000000004</v>
      </c>
      <c r="M725" s="66">
        <v>0.23767725772457945</v>
      </c>
      <c r="N725" s="64">
        <v>1567.23</v>
      </c>
      <c r="O725" s="64" t="s">
        <v>18</v>
      </c>
    </row>
    <row r="726" spans="1:15" x14ac:dyDescent="0.3">
      <c r="A726" s="64">
        <v>725</v>
      </c>
      <c r="B726" s="64">
        <v>2844</v>
      </c>
      <c r="C726" s="64" t="s">
        <v>13</v>
      </c>
      <c r="D726" s="64" t="s">
        <v>20</v>
      </c>
      <c r="E726" s="64">
        <v>19802</v>
      </c>
      <c r="F726" s="64">
        <v>1</v>
      </c>
      <c r="G726" s="64">
        <v>19802</v>
      </c>
      <c r="H726" s="65">
        <v>45574</v>
      </c>
      <c r="I726" s="64" t="s">
        <v>26</v>
      </c>
      <c r="J726" s="64" t="s">
        <v>35</v>
      </c>
      <c r="K726" s="64" t="s">
        <v>28</v>
      </c>
      <c r="L726" s="64">
        <v>4.9000000000000004</v>
      </c>
      <c r="M726" s="66">
        <v>0.20132158367841632</v>
      </c>
      <c r="N726" s="64">
        <v>1954.03</v>
      </c>
      <c r="O726" s="64" t="s">
        <v>18</v>
      </c>
    </row>
    <row r="727" spans="1:15" x14ac:dyDescent="0.3">
      <c r="A727" s="64">
        <v>726</v>
      </c>
      <c r="B727" s="64">
        <v>2384</v>
      </c>
      <c r="C727" s="64" t="s">
        <v>19</v>
      </c>
      <c r="D727" s="64" t="s">
        <v>14</v>
      </c>
      <c r="E727" s="64">
        <v>37003</v>
      </c>
      <c r="F727" s="64">
        <v>1</v>
      </c>
      <c r="G727" s="64">
        <v>37003</v>
      </c>
      <c r="H727" s="65">
        <v>45414</v>
      </c>
      <c r="I727" s="64" t="s">
        <v>30</v>
      </c>
      <c r="J727" s="64" t="s">
        <v>27</v>
      </c>
      <c r="K727" s="64" t="s">
        <v>28</v>
      </c>
      <c r="L727" s="64">
        <v>3</v>
      </c>
      <c r="M727" s="66">
        <v>0.25552874091289896</v>
      </c>
      <c r="N727" s="64">
        <v>1645.57</v>
      </c>
      <c r="O727" s="64" t="s">
        <v>18</v>
      </c>
    </row>
    <row r="728" spans="1:15" x14ac:dyDescent="0.3">
      <c r="A728" s="64">
        <v>727</v>
      </c>
      <c r="B728" s="64">
        <v>3344</v>
      </c>
      <c r="C728" s="64" t="s">
        <v>29</v>
      </c>
      <c r="D728" s="64" t="s">
        <v>20</v>
      </c>
      <c r="E728" s="64">
        <v>27617</v>
      </c>
      <c r="F728" s="64">
        <v>2</v>
      </c>
      <c r="G728" s="64">
        <v>55234</v>
      </c>
      <c r="H728" s="65">
        <v>45645</v>
      </c>
      <c r="I728" s="64" t="s">
        <v>26</v>
      </c>
      <c r="J728" s="64" t="s">
        <v>27</v>
      </c>
      <c r="K728" s="64" t="s">
        <v>24</v>
      </c>
      <c r="L728" s="64">
        <v>1.5</v>
      </c>
      <c r="M728" s="66">
        <v>0.15575895281891589</v>
      </c>
      <c r="N728" s="64">
        <v>7967.01</v>
      </c>
      <c r="O728" s="64" t="s">
        <v>18</v>
      </c>
    </row>
    <row r="729" spans="1:15" x14ac:dyDescent="0.3">
      <c r="A729" s="64">
        <v>728</v>
      </c>
      <c r="B729" s="64">
        <v>3675</v>
      </c>
      <c r="C729" s="64" t="s">
        <v>19</v>
      </c>
      <c r="D729" s="64" t="s">
        <v>14</v>
      </c>
      <c r="E729" s="64">
        <v>48176</v>
      </c>
      <c r="F729" s="64">
        <v>3</v>
      </c>
      <c r="G729" s="64">
        <v>144528</v>
      </c>
      <c r="H729" s="65">
        <v>45636</v>
      </c>
      <c r="I729" s="64" t="s">
        <v>30</v>
      </c>
      <c r="J729" s="64" t="s">
        <v>27</v>
      </c>
      <c r="K729" s="64" t="s">
        <v>28</v>
      </c>
      <c r="L729" s="64">
        <v>4.3</v>
      </c>
      <c r="M729" s="66">
        <v>0.21417877504704971</v>
      </c>
      <c r="N729" s="64">
        <v>12403.57</v>
      </c>
      <c r="O729" s="64" t="s">
        <v>18</v>
      </c>
    </row>
    <row r="730" spans="1:15" x14ac:dyDescent="0.3">
      <c r="A730" s="64">
        <v>729</v>
      </c>
      <c r="B730" s="64">
        <v>1336</v>
      </c>
      <c r="C730" s="64" t="s">
        <v>13</v>
      </c>
      <c r="D730" s="64" t="s">
        <v>20</v>
      </c>
      <c r="E730" s="64">
        <v>8787</v>
      </c>
      <c r="F730" s="64">
        <v>4</v>
      </c>
      <c r="G730" s="64">
        <v>35148</v>
      </c>
      <c r="H730" s="65">
        <v>45316</v>
      </c>
      <c r="I730" s="64" t="s">
        <v>33</v>
      </c>
      <c r="J730" s="64" t="s">
        <v>21</v>
      </c>
      <c r="K730" s="64" t="s">
        <v>28</v>
      </c>
      <c r="L730" s="64">
        <v>1.7</v>
      </c>
      <c r="M730" s="66">
        <v>0.20339877091157393</v>
      </c>
      <c r="N730" s="64">
        <v>3395.34</v>
      </c>
      <c r="O730" s="64" t="s">
        <v>22</v>
      </c>
    </row>
    <row r="731" spans="1:15" x14ac:dyDescent="0.3">
      <c r="A731" s="64">
        <v>730</v>
      </c>
      <c r="B731" s="64">
        <v>5559</v>
      </c>
      <c r="C731" s="64" t="s">
        <v>23</v>
      </c>
      <c r="D731" s="64" t="s">
        <v>25</v>
      </c>
      <c r="E731" s="64">
        <v>12312</v>
      </c>
      <c r="F731" s="64">
        <v>2</v>
      </c>
      <c r="G731" s="64">
        <v>24624</v>
      </c>
      <c r="H731" s="65">
        <v>45526</v>
      </c>
      <c r="I731" s="64" t="s">
        <v>26</v>
      </c>
      <c r="J731" s="64" t="s">
        <v>27</v>
      </c>
      <c r="K731" s="64" t="s">
        <v>28</v>
      </c>
      <c r="L731" s="64">
        <v>2</v>
      </c>
      <c r="M731" s="66">
        <v>0.24361679662118257</v>
      </c>
      <c r="N731" s="64">
        <v>1388.38</v>
      </c>
      <c r="O731" s="64" t="s">
        <v>18</v>
      </c>
    </row>
    <row r="732" spans="1:15" x14ac:dyDescent="0.3">
      <c r="A732" s="64">
        <v>731</v>
      </c>
      <c r="B732" s="64">
        <v>6007</v>
      </c>
      <c r="C732" s="64" t="s">
        <v>19</v>
      </c>
      <c r="D732" s="64" t="s">
        <v>14</v>
      </c>
      <c r="E732" s="64">
        <v>8723</v>
      </c>
      <c r="F732" s="64">
        <v>5</v>
      </c>
      <c r="G732" s="64">
        <v>43615</v>
      </c>
      <c r="H732" s="65">
        <v>45452</v>
      </c>
      <c r="I732" s="64" t="s">
        <v>26</v>
      </c>
      <c r="J732" s="64" t="s">
        <v>27</v>
      </c>
      <c r="K732" s="64" t="s">
        <v>17</v>
      </c>
      <c r="L732" s="64">
        <v>4.0999999999999996</v>
      </c>
      <c r="M732" s="66">
        <v>0.26411165883297028</v>
      </c>
      <c r="N732" s="64">
        <v>1565.27</v>
      </c>
      <c r="O732" s="64" t="s">
        <v>22</v>
      </c>
    </row>
    <row r="733" spans="1:15" x14ac:dyDescent="0.3">
      <c r="A733" s="64">
        <v>732</v>
      </c>
      <c r="B733" s="64">
        <v>1143</v>
      </c>
      <c r="C733" s="64" t="s">
        <v>23</v>
      </c>
      <c r="D733" s="64" t="s">
        <v>20</v>
      </c>
      <c r="E733" s="64">
        <v>30543</v>
      </c>
      <c r="F733" s="64">
        <v>5</v>
      </c>
      <c r="G733" s="64">
        <v>152715</v>
      </c>
      <c r="H733" s="65">
        <v>45473</v>
      </c>
      <c r="I733" s="64" t="s">
        <v>15</v>
      </c>
      <c r="J733" s="64" t="s">
        <v>27</v>
      </c>
      <c r="K733" s="64" t="s">
        <v>24</v>
      </c>
      <c r="L733" s="64">
        <v>2.4</v>
      </c>
      <c r="M733" s="66">
        <v>0.26395449039059687</v>
      </c>
      <c r="N733" s="64">
        <v>5504.69</v>
      </c>
      <c r="O733" s="64" t="s">
        <v>18</v>
      </c>
    </row>
    <row r="734" spans="1:15" x14ac:dyDescent="0.3">
      <c r="A734" s="64">
        <v>733</v>
      </c>
      <c r="B734" s="64">
        <v>4787</v>
      </c>
      <c r="C734" s="64" t="s">
        <v>32</v>
      </c>
      <c r="D734" s="64" t="s">
        <v>25</v>
      </c>
      <c r="E734" s="64">
        <v>8517</v>
      </c>
      <c r="F734" s="64">
        <v>4</v>
      </c>
      <c r="G734" s="64">
        <v>34068</v>
      </c>
      <c r="H734" s="65">
        <v>45479</v>
      </c>
      <c r="I734" s="64" t="s">
        <v>33</v>
      </c>
      <c r="J734" s="64" t="s">
        <v>21</v>
      </c>
      <c r="K734" s="64" t="s">
        <v>17</v>
      </c>
      <c r="L734" s="64">
        <v>1.4</v>
      </c>
      <c r="M734" s="66">
        <v>0.1233955618175414</v>
      </c>
      <c r="N734" s="64">
        <v>6016.56</v>
      </c>
      <c r="O734" s="64" t="s">
        <v>22</v>
      </c>
    </row>
    <row r="735" spans="1:15" x14ac:dyDescent="0.3">
      <c r="A735" s="64">
        <v>734</v>
      </c>
      <c r="B735" s="64">
        <v>1212</v>
      </c>
      <c r="C735" s="64" t="s">
        <v>29</v>
      </c>
      <c r="D735" s="64" t="s">
        <v>14</v>
      </c>
      <c r="E735" s="64">
        <v>24089</v>
      </c>
      <c r="F735" s="64">
        <v>5</v>
      </c>
      <c r="G735" s="64">
        <v>120445</v>
      </c>
      <c r="H735" s="65">
        <v>45606</v>
      </c>
      <c r="I735" s="64" t="s">
        <v>33</v>
      </c>
      <c r="J735" s="64" t="s">
        <v>27</v>
      </c>
      <c r="K735" s="64" t="s">
        <v>24</v>
      </c>
      <c r="L735" s="64">
        <v>1.8</v>
      </c>
      <c r="M735" s="66">
        <v>0.10389771264892689</v>
      </c>
      <c r="N735" s="64">
        <v>23619.54</v>
      </c>
      <c r="O735" s="64" t="s">
        <v>18</v>
      </c>
    </row>
    <row r="736" spans="1:15" x14ac:dyDescent="0.3">
      <c r="A736" s="64">
        <v>735</v>
      </c>
      <c r="B736" s="64">
        <v>5612</v>
      </c>
      <c r="C736" s="64" t="s">
        <v>32</v>
      </c>
      <c r="D736" s="64" t="s">
        <v>14</v>
      </c>
      <c r="E736" s="64">
        <v>22783</v>
      </c>
      <c r="F736" s="64">
        <v>5</v>
      </c>
      <c r="G736" s="64">
        <v>113915</v>
      </c>
      <c r="H736" s="65">
        <v>45301</v>
      </c>
      <c r="I736" s="64" t="s">
        <v>30</v>
      </c>
      <c r="J736" s="64" t="s">
        <v>35</v>
      </c>
      <c r="K736" s="64" t="s">
        <v>24</v>
      </c>
      <c r="L736" s="64">
        <v>2.2000000000000002</v>
      </c>
      <c r="M736" s="66">
        <v>6.5274195672211738E-2</v>
      </c>
      <c r="N736" s="64">
        <v>26738.79</v>
      </c>
      <c r="O736" s="64" t="s">
        <v>22</v>
      </c>
    </row>
    <row r="737" spans="1:15" x14ac:dyDescent="0.3">
      <c r="A737" s="64">
        <v>736</v>
      </c>
      <c r="B737" s="64">
        <v>2869</v>
      </c>
      <c r="C737" s="64" t="s">
        <v>34</v>
      </c>
      <c r="D737" s="64" t="s">
        <v>20</v>
      </c>
      <c r="E737" s="64">
        <v>3320</v>
      </c>
      <c r="F737" s="64">
        <v>1</v>
      </c>
      <c r="G737" s="64">
        <v>3320</v>
      </c>
      <c r="H737" s="65">
        <v>45295</v>
      </c>
      <c r="I737" s="64" t="s">
        <v>15</v>
      </c>
      <c r="J737" s="64" t="s">
        <v>21</v>
      </c>
      <c r="K737" s="64" t="s">
        <v>24</v>
      </c>
      <c r="L737" s="64">
        <v>2.4</v>
      </c>
      <c r="M737" s="66">
        <v>0.12442168674698795</v>
      </c>
      <c r="N737" s="64">
        <v>582.91999999999996</v>
      </c>
      <c r="O737" s="64" t="s">
        <v>22</v>
      </c>
    </row>
    <row r="738" spans="1:15" x14ac:dyDescent="0.3">
      <c r="A738" s="64">
        <v>737</v>
      </c>
      <c r="B738" s="64">
        <v>8084</v>
      </c>
      <c r="C738" s="64" t="s">
        <v>32</v>
      </c>
      <c r="D738" s="64" t="s">
        <v>14</v>
      </c>
      <c r="E738" s="64">
        <v>11840</v>
      </c>
      <c r="F738" s="64">
        <v>2</v>
      </c>
      <c r="G738" s="64">
        <v>23680</v>
      </c>
      <c r="H738" s="65">
        <v>45510</v>
      </c>
      <c r="I738" s="64" t="s">
        <v>26</v>
      </c>
      <c r="J738" s="64" t="s">
        <v>21</v>
      </c>
      <c r="K738" s="64" t="s">
        <v>24</v>
      </c>
      <c r="L738" s="64">
        <v>4</v>
      </c>
      <c r="M738" s="66">
        <v>0.27557305743243243</v>
      </c>
      <c r="N738" s="64">
        <v>578.42999999999995</v>
      </c>
      <c r="O738" s="64" t="s">
        <v>18</v>
      </c>
    </row>
    <row r="739" spans="1:15" x14ac:dyDescent="0.3">
      <c r="A739" s="64">
        <v>738</v>
      </c>
      <c r="B739" s="64">
        <v>6691</v>
      </c>
      <c r="C739" s="64" t="s">
        <v>34</v>
      </c>
      <c r="D739" s="64" t="s">
        <v>14</v>
      </c>
      <c r="E739" s="64">
        <v>21480</v>
      </c>
      <c r="F739" s="64">
        <v>5</v>
      </c>
      <c r="G739" s="64">
        <v>107400</v>
      </c>
      <c r="H739" s="65">
        <v>45313</v>
      </c>
      <c r="I739" s="64" t="s">
        <v>15</v>
      </c>
      <c r="J739" s="64" t="s">
        <v>27</v>
      </c>
      <c r="K739" s="64" t="s">
        <v>28</v>
      </c>
      <c r="L739" s="64">
        <v>2.2999999999999998</v>
      </c>
      <c r="M739" s="66">
        <v>6.3781378026070756E-2</v>
      </c>
      <c r="N739" s="64">
        <v>25369.88</v>
      </c>
      <c r="O739" s="64" t="s">
        <v>18</v>
      </c>
    </row>
    <row r="740" spans="1:15" x14ac:dyDescent="0.3">
      <c r="A740" s="64">
        <v>739</v>
      </c>
      <c r="B740" s="64">
        <v>7132</v>
      </c>
      <c r="C740" s="64" t="s">
        <v>32</v>
      </c>
      <c r="D740" s="64" t="s">
        <v>25</v>
      </c>
      <c r="E740" s="64">
        <v>43468</v>
      </c>
      <c r="F740" s="64">
        <v>1</v>
      </c>
      <c r="G740" s="64">
        <v>43468</v>
      </c>
      <c r="H740" s="65">
        <v>45352</v>
      </c>
      <c r="I740" s="64" t="s">
        <v>26</v>
      </c>
      <c r="J740" s="64" t="s">
        <v>31</v>
      </c>
      <c r="K740" s="64" t="s">
        <v>24</v>
      </c>
      <c r="L740" s="64">
        <v>4.7</v>
      </c>
      <c r="M740" s="66">
        <v>0.19189541731848714</v>
      </c>
      <c r="N740" s="64">
        <v>4699.09</v>
      </c>
      <c r="O740" s="64" t="s">
        <v>18</v>
      </c>
    </row>
    <row r="741" spans="1:15" x14ac:dyDescent="0.3">
      <c r="A741" s="64">
        <v>740</v>
      </c>
      <c r="B741" s="64">
        <v>9706</v>
      </c>
      <c r="C741" s="64" t="s">
        <v>19</v>
      </c>
      <c r="D741" s="64" t="s">
        <v>20</v>
      </c>
      <c r="E741" s="64">
        <v>45159</v>
      </c>
      <c r="F741" s="64">
        <v>2</v>
      </c>
      <c r="G741" s="64">
        <v>90318</v>
      </c>
      <c r="H741" s="65">
        <v>45596</v>
      </c>
      <c r="I741" s="64" t="s">
        <v>33</v>
      </c>
      <c r="J741" s="64" t="s">
        <v>35</v>
      </c>
      <c r="K741" s="64" t="s">
        <v>28</v>
      </c>
      <c r="L741" s="64">
        <v>3.9</v>
      </c>
      <c r="M741" s="66">
        <v>0.28134845767178196</v>
      </c>
      <c r="N741" s="64">
        <v>1684.57</v>
      </c>
      <c r="O741" s="64" t="s">
        <v>22</v>
      </c>
    </row>
    <row r="742" spans="1:15" x14ac:dyDescent="0.3">
      <c r="A742" s="64">
        <v>741</v>
      </c>
      <c r="B742" s="64">
        <v>4019</v>
      </c>
      <c r="C742" s="64" t="s">
        <v>32</v>
      </c>
      <c r="D742" s="64" t="s">
        <v>25</v>
      </c>
      <c r="E742" s="64">
        <v>10840</v>
      </c>
      <c r="F742" s="64">
        <v>1</v>
      </c>
      <c r="G742" s="64">
        <v>10840</v>
      </c>
      <c r="H742" s="65">
        <v>45348</v>
      </c>
      <c r="I742" s="64" t="s">
        <v>15</v>
      </c>
      <c r="J742" s="64" t="s">
        <v>31</v>
      </c>
      <c r="K742" s="64" t="s">
        <v>24</v>
      </c>
      <c r="L742" s="64">
        <v>2.2999999999999998</v>
      </c>
      <c r="M742" s="66">
        <v>0.20578597785977859</v>
      </c>
      <c r="N742" s="64">
        <v>1021.28</v>
      </c>
      <c r="O742" s="64" t="s">
        <v>18</v>
      </c>
    </row>
    <row r="743" spans="1:15" x14ac:dyDescent="0.3">
      <c r="A743" s="64">
        <v>742</v>
      </c>
      <c r="B743" s="64">
        <v>1643</v>
      </c>
      <c r="C743" s="64" t="s">
        <v>29</v>
      </c>
      <c r="D743" s="64" t="s">
        <v>20</v>
      </c>
      <c r="E743" s="64">
        <v>27598</v>
      </c>
      <c r="F743" s="64">
        <v>5</v>
      </c>
      <c r="G743" s="64">
        <v>137990</v>
      </c>
      <c r="H743" s="65">
        <v>45618</v>
      </c>
      <c r="I743" s="64" t="s">
        <v>30</v>
      </c>
      <c r="J743" s="64" t="s">
        <v>31</v>
      </c>
      <c r="K743" s="64" t="s">
        <v>28</v>
      </c>
      <c r="L743" s="64">
        <v>4.3</v>
      </c>
      <c r="M743" s="66">
        <v>0.16468968765852599</v>
      </c>
      <c r="N743" s="64">
        <v>18671.47</v>
      </c>
      <c r="O743" s="64" t="s">
        <v>18</v>
      </c>
    </row>
    <row r="744" spans="1:15" x14ac:dyDescent="0.3">
      <c r="A744" s="64">
        <v>743</v>
      </c>
      <c r="B744" s="64">
        <v>9935</v>
      </c>
      <c r="C744" s="64" t="s">
        <v>23</v>
      </c>
      <c r="D744" s="64" t="s">
        <v>14</v>
      </c>
      <c r="E744" s="64">
        <v>44911</v>
      </c>
      <c r="F744" s="64">
        <v>1</v>
      </c>
      <c r="G744" s="64">
        <v>44911</v>
      </c>
      <c r="H744" s="65">
        <v>45536</v>
      </c>
      <c r="I744" s="64" t="s">
        <v>26</v>
      </c>
      <c r="J744" s="64" t="s">
        <v>31</v>
      </c>
      <c r="K744" s="64" t="s">
        <v>17</v>
      </c>
      <c r="L744" s="64">
        <v>4.2</v>
      </c>
      <c r="M744" s="66">
        <v>0.22258756206719957</v>
      </c>
      <c r="N744" s="64">
        <v>3476.67</v>
      </c>
      <c r="O744" s="64" t="s">
        <v>22</v>
      </c>
    </row>
    <row r="745" spans="1:15" x14ac:dyDescent="0.3">
      <c r="A745" s="64">
        <v>744</v>
      </c>
      <c r="B745" s="64">
        <v>5591</v>
      </c>
      <c r="C745" s="64" t="s">
        <v>13</v>
      </c>
      <c r="D745" s="64" t="s">
        <v>25</v>
      </c>
      <c r="E745" s="64">
        <v>10007</v>
      </c>
      <c r="F745" s="64">
        <v>2</v>
      </c>
      <c r="G745" s="64">
        <v>20014</v>
      </c>
      <c r="H745" s="65">
        <v>45323</v>
      </c>
      <c r="I745" s="64" t="s">
        <v>15</v>
      </c>
      <c r="J745" s="64" t="s">
        <v>27</v>
      </c>
      <c r="K745" s="64" t="s">
        <v>28</v>
      </c>
      <c r="L745" s="64">
        <v>4.2</v>
      </c>
      <c r="M745" s="66">
        <v>0.26809133606475466</v>
      </c>
      <c r="N745" s="64">
        <v>638.62</v>
      </c>
      <c r="O745" s="64" t="s">
        <v>22</v>
      </c>
    </row>
    <row r="746" spans="1:15" x14ac:dyDescent="0.3">
      <c r="A746" s="64">
        <v>745</v>
      </c>
      <c r="B746" s="64">
        <v>6991</v>
      </c>
      <c r="C746" s="64" t="s">
        <v>13</v>
      </c>
      <c r="D746" s="64" t="s">
        <v>14</v>
      </c>
      <c r="E746" s="64">
        <v>19482</v>
      </c>
      <c r="F746" s="64">
        <v>1</v>
      </c>
      <c r="G746" s="64">
        <v>19482</v>
      </c>
      <c r="H746" s="65">
        <v>45424</v>
      </c>
      <c r="I746" s="64" t="s">
        <v>26</v>
      </c>
      <c r="J746" s="64" t="s">
        <v>27</v>
      </c>
      <c r="K746" s="64" t="s">
        <v>17</v>
      </c>
      <c r="L746" s="64">
        <v>4.4000000000000004</v>
      </c>
      <c r="M746" s="66">
        <v>0.17812339595524074</v>
      </c>
      <c r="N746" s="64">
        <v>2374.4</v>
      </c>
      <c r="O746" s="64" t="s">
        <v>22</v>
      </c>
    </row>
    <row r="747" spans="1:15" x14ac:dyDescent="0.3">
      <c r="A747" s="64">
        <v>746</v>
      </c>
      <c r="B747" s="64">
        <v>9451</v>
      </c>
      <c r="C747" s="64" t="s">
        <v>23</v>
      </c>
      <c r="D747" s="64" t="s">
        <v>25</v>
      </c>
      <c r="E747" s="64">
        <v>12050</v>
      </c>
      <c r="F747" s="64">
        <v>5</v>
      </c>
      <c r="G747" s="64">
        <v>60250</v>
      </c>
      <c r="H747" s="65">
        <v>45397</v>
      </c>
      <c r="I747" s="64" t="s">
        <v>26</v>
      </c>
      <c r="J747" s="64" t="s">
        <v>31</v>
      </c>
      <c r="K747" s="64" t="s">
        <v>28</v>
      </c>
      <c r="L747" s="64">
        <v>4.0999999999999996</v>
      </c>
      <c r="M747" s="66">
        <v>0.26722207468879666</v>
      </c>
      <c r="N747" s="64">
        <v>1974.87</v>
      </c>
      <c r="O747" s="64" t="s">
        <v>22</v>
      </c>
    </row>
    <row r="748" spans="1:15" x14ac:dyDescent="0.3">
      <c r="A748" s="64">
        <v>747</v>
      </c>
      <c r="B748" s="64">
        <v>5240</v>
      </c>
      <c r="C748" s="64" t="s">
        <v>34</v>
      </c>
      <c r="D748" s="64" t="s">
        <v>25</v>
      </c>
      <c r="E748" s="64">
        <v>21405</v>
      </c>
      <c r="F748" s="64">
        <v>4</v>
      </c>
      <c r="G748" s="64">
        <v>85620</v>
      </c>
      <c r="H748" s="65">
        <v>45350</v>
      </c>
      <c r="I748" s="64" t="s">
        <v>26</v>
      </c>
      <c r="J748" s="64" t="s">
        <v>35</v>
      </c>
      <c r="K748" s="64" t="s">
        <v>28</v>
      </c>
      <c r="L748" s="64">
        <v>3</v>
      </c>
      <c r="M748" s="66">
        <v>0.19517063770147161</v>
      </c>
      <c r="N748" s="64">
        <v>8975.49</v>
      </c>
      <c r="O748" s="64" t="s">
        <v>22</v>
      </c>
    </row>
    <row r="749" spans="1:15" x14ac:dyDescent="0.3">
      <c r="A749" s="64">
        <v>748</v>
      </c>
      <c r="B749" s="64">
        <v>5755</v>
      </c>
      <c r="C749" s="64" t="s">
        <v>29</v>
      </c>
      <c r="D749" s="64" t="s">
        <v>20</v>
      </c>
      <c r="E749" s="64">
        <v>33562</v>
      </c>
      <c r="F749" s="64">
        <v>2</v>
      </c>
      <c r="G749" s="64">
        <v>67124</v>
      </c>
      <c r="H749" s="65">
        <v>45425</v>
      </c>
      <c r="I749" s="64" t="s">
        <v>33</v>
      </c>
      <c r="J749" s="64" t="s">
        <v>35</v>
      </c>
      <c r="K749" s="64" t="s">
        <v>17</v>
      </c>
      <c r="L749" s="64">
        <v>1.6</v>
      </c>
      <c r="M749" s="66">
        <v>0.11704382933079077</v>
      </c>
      <c r="N749" s="64">
        <v>12280.75</v>
      </c>
      <c r="O749" s="64" t="s">
        <v>18</v>
      </c>
    </row>
    <row r="750" spans="1:15" x14ac:dyDescent="0.3">
      <c r="A750" s="64">
        <v>749</v>
      </c>
      <c r="B750" s="64">
        <v>4938</v>
      </c>
      <c r="C750" s="64" t="s">
        <v>23</v>
      </c>
      <c r="D750" s="64" t="s">
        <v>14</v>
      </c>
      <c r="E750" s="64">
        <v>49590</v>
      </c>
      <c r="F750" s="64">
        <v>4</v>
      </c>
      <c r="G750" s="64">
        <v>198360</v>
      </c>
      <c r="H750" s="65">
        <v>45579</v>
      </c>
      <c r="I750" s="64" t="s">
        <v>26</v>
      </c>
      <c r="J750" s="64" t="s">
        <v>16</v>
      </c>
      <c r="K750" s="64" t="s">
        <v>17</v>
      </c>
      <c r="L750" s="64">
        <v>4</v>
      </c>
      <c r="M750" s="66">
        <v>0.27291903609598711</v>
      </c>
      <c r="N750" s="64">
        <v>5371.78</v>
      </c>
      <c r="O750" s="64" t="s">
        <v>18</v>
      </c>
    </row>
    <row r="751" spans="1:15" x14ac:dyDescent="0.3">
      <c r="A751" s="64">
        <v>750</v>
      </c>
      <c r="B751" s="64">
        <v>8469</v>
      </c>
      <c r="C751" s="64" t="s">
        <v>19</v>
      </c>
      <c r="D751" s="64" t="s">
        <v>14</v>
      </c>
      <c r="E751" s="64">
        <v>13891</v>
      </c>
      <c r="F751" s="64">
        <v>3</v>
      </c>
      <c r="G751" s="64">
        <v>41673</v>
      </c>
      <c r="H751" s="65">
        <v>45509</v>
      </c>
      <c r="I751" s="64" t="s">
        <v>15</v>
      </c>
      <c r="J751" s="64" t="s">
        <v>31</v>
      </c>
      <c r="K751" s="64" t="s">
        <v>24</v>
      </c>
      <c r="L751" s="64">
        <v>3.9</v>
      </c>
      <c r="M751" s="66">
        <v>0.21765291675665299</v>
      </c>
      <c r="N751" s="64">
        <v>3431.65</v>
      </c>
      <c r="O751" s="64" t="s">
        <v>18</v>
      </c>
    </row>
    <row r="752" spans="1:15" x14ac:dyDescent="0.3">
      <c r="A752" s="64">
        <v>751</v>
      </c>
      <c r="B752" s="64">
        <v>2386</v>
      </c>
      <c r="C752" s="64" t="s">
        <v>34</v>
      </c>
      <c r="D752" s="64" t="s">
        <v>25</v>
      </c>
      <c r="E752" s="64">
        <v>46284</v>
      </c>
      <c r="F752" s="64">
        <v>4</v>
      </c>
      <c r="G752" s="64">
        <v>185136</v>
      </c>
      <c r="H752" s="65">
        <v>45546</v>
      </c>
      <c r="I752" s="64" t="s">
        <v>26</v>
      </c>
      <c r="J752" s="64" t="s">
        <v>21</v>
      </c>
      <c r="K752" s="64" t="s">
        <v>17</v>
      </c>
      <c r="L752" s="64">
        <v>2.8</v>
      </c>
      <c r="M752" s="66">
        <v>0.26309896508512659</v>
      </c>
      <c r="N752" s="64">
        <v>6831.71</v>
      </c>
      <c r="O752" s="64" t="s">
        <v>18</v>
      </c>
    </row>
    <row r="753" spans="1:15" x14ac:dyDescent="0.3">
      <c r="A753" s="64">
        <v>752</v>
      </c>
      <c r="B753" s="64">
        <v>1170</v>
      </c>
      <c r="C753" s="64" t="s">
        <v>13</v>
      </c>
      <c r="D753" s="64" t="s">
        <v>25</v>
      </c>
      <c r="E753" s="64">
        <v>29046</v>
      </c>
      <c r="F753" s="64">
        <v>2</v>
      </c>
      <c r="G753" s="64">
        <v>58092</v>
      </c>
      <c r="H753" s="65">
        <v>45608</v>
      </c>
      <c r="I753" s="64" t="s">
        <v>15</v>
      </c>
      <c r="J753" s="64" t="s">
        <v>35</v>
      </c>
      <c r="K753" s="64" t="s">
        <v>17</v>
      </c>
      <c r="L753" s="64">
        <v>3.6</v>
      </c>
      <c r="M753" s="66">
        <v>0.14778781932107693</v>
      </c>
      <c r="N753" s="64">
        <v>8842.31</v>
      </c>
      <c r="O753" s="64" t="s">
        <v>22</v>
      </c>
    </row>
    <row r="754" spans="1:15" x14ac:dyDescent="0.3">
      <c r="A754" s="64">
        <v>753</v>
      </c>
      <c r="B754" s="64">
        <v>8914</v>
      </c>
      <c r="C754" s="64" t="s">
        <v>34</v>
      </c>
      <c r="D754" s="64" t="s">
        <v>25</v>
      </c>
      <c r="E754" s="64">
        <v>44739</v>
      </c>
      <c r="F754" s="64">
        <v>2</v>
      </c>
      <c r="G754" s="64">
        <v>89478</v>
      </c>
      <c r="H754" s="65">
        <v>45597</v>
      </c>
      <c r="I754" s="64" t="s">
        <v>33</v>
      </c>
      <c r="J754" s="64" t="s">
        <v>35</v>
      </c>
      <c r="K754" s="64" t="s">
        <v>24</v>
      </c>
      <c r="L754" s="64">
        <v>3.9</v>
      </c>
      <c r="M754" s="66">
        <v>0.20538881065736828</v>
      </c>
      <c r="N754" s="64">
        <v>8465.6200000000008</v>
      </c>
      <c r="O754" s="64" t="s">
        <v>22</v>
      </c>
    </row>
    <row r="755" spans="1:15" x14ac:dyDescent="0.3">
      <c r="A755" s="64">
        <v>754</v>
      </c>
      <c r="B755" s="64">
        <v>2884</v>
      </c>
      <c r="C755" s="64" t="s">
        <v>13</v>
      </c>
      <c r="D755" s="64" t="s">
        <v>14</v>
      </c>
      <c r="E755" s="64">
        <v>27527</v>
      </c>
      <c r="F755" s="64">
        <v>2</v>
      </c>
      <c r="G755" s="64">
        <v>55054</v>
      </c>
      <c r="H755" s="65">
        <v>45446</v>
      </c>
      <c r="I755" s="64" t="s">
        <v>15</v>
      </c>
      <c r="J755" s="64" t="s">
        <v>16</v>
      </c>
      <c r="K755" s="64" t="s">
        <v>24</v>
      </c>
      <c r="L755" s="64">
        <v>1.5</v>
      </c>
      <c r="M755" s="66">
        <v>0.24425146220074836</v>
      </c>
      <c r="N755" s="64">
        <v>3069.18</v>
      </c>
      <c r="O755" s="64" t="s">
        <v>18</v>
      </c>
    </row>
    <row r="756" spans="1:15" x14ac:dyDescent="0.3">
      <c r="A756" s="64">
        <v>755</v>
      </c>
      <c r="B756" s="64">
        <v>2924</v>
      </c>
      <c r="C756" s="64" t="s">
        <v>13</v>
      </c>
      <c r="D756" s="64" t="s">
        <v>25</v>
      </c>
      <c r="E756" s="64">
        <v>29957</v>
      </c>
      <c r="F756" s="64">
        <v>3</v>
      </c>
      <c r="G756" s="64">
        <v>89871</v>
      </c>
      <c r="H756" s="65">
        <v>45321</v>
      </c>
      <c r="I756" s="64" t="s">
        <v>26</v>
      </c>
      <c r="J756" s="64" t="s">
        <v>31</v>
      </c>
      <c r="K756" s="64" t="s">
        <v>24</v>
      </c>
      <c r="L756" s="64">
        <v>1.8</v>
      </c>
      <c r="M756" s="66">
        <v>0.17918338507416184</v>
      </c>
      <c r="N756" s="64">
        <v>10857.91</v>
      </c>
      <c r="O756" s="64" t="s">
        <v>18</v>
      </c>
    </row>
    <row r="757" spans="1:15" x14ac:dyDescent="0.3">
      <c r="A757" s="64">
        <v>756</v>
      </c>
      <c r="B757" s="64">
        <v>4680</v>
      </c>
      <c r="C757" s="64" t="s">
        <v>32</v>
      </c>
      <c r="D757" s="64" t="s">
        <v>25</v>
      </c>
      <c r="E757" s="64">
        <v>15159</v>
      </c>
      <c r="F757" s="64">
        <v>4</v>
      </c>
      <c r="G757" s="64">
        <v>60636</v>
      </c>
      <c r="H757" s="65">
        <v>45583</v>
      </c>
      <c r="I757" s="64" t="s">
        <v>30</v>
      </c>
      <c r="J757" s="64" t="s">
        <v>35</v>
      </c>
      <c r="K757" s="64" t="s">
        <v>28</v>
      </c>
      <c r="L757" s="64">
        <v>4.8</v>
      </c>
      <c r="M757" s="66">
        <v>8.8801866877762384E-2</v>
      </c>
      <c r="N757" s="64">
        <v>12806.21</v>
      </c>
      <c r="O757" s="64" t="s">
        <v>18</v>
      </c>
    </row>
    <row r="758" spans="1:15" x14ac:dyDescent="0.3">
      <c r="A758" s="64">
        <v>757</v>
      </c>
      <c r="B758" s="64">
        <v>3044</v>
      </c>
      <c r="C758" s="64" t="s">
        <v>19</v>
      </c>
      <c r="D758" s="64" t="s">
        <v>14</v>
      </c>
      <c r="E758" s="64">
        <v>23583</v>
      </c>
      <c r="F758" s="64">
        <v>2</v>
      </c>
      <c r="G758" s="64">
        <v>47166</v>
      </c>
      <c r="H758" s="65">
        <v>45298</v>
      </c>
      <c r="I758" s="64" t="s">
        <v>15</v>
      </c>
      <c r="J758" s="64" t="s">
        <v>35</v>
      </c>
      <c r="K758" s="64" t="s">
        <v>24</v>
      </c>
      <c r="L758" s="64">
        <v>3</v>
      </c>
      <c r="M758" s="66">
        <v>0.28129054827630073</v>
      </c>
      <c r="N758" s="64">
        <v>882.45</v>
      </c>
      <c r="O758" s="64" t="s">
        <v>18</v>
      </c>
    </row>
    <row r="759" spans="1:15" x14ac:dyDescent="0.3">
      <c r="A759" s="64">
        <v>758</v>
      </c>
      <c r="B759" s="64">
        <v>9786</v>
      </c>
      <c r="C759" s="64" t="s">
        <v>32</v>
      </c>
      <c r="D759" s="64" t="s">
        <v>20</v>
      </c>
      <c r="E759" s="64">
        <v>17892</v>
      </c>
      <c r="F759" s="64">
        <v>1</v>
      </c>
      <c r="G759" s="64">
        <v>17892</v>
      </c>
      <c r="H759" s="65">
        <v>45489</v>
      </c>
      <c r="I759" s="64" t="s">
        <v>33</v>
      </c>
      <c r="J759" s="64" t="s">
        <v>21</v>
      </c>
      <c r="K759" s="64" t="s">
        <v>28</v>
      </c>
      <c r="L759" s="64">
        <v>4.5999999999999996</v>
      </c>
      <c r="M759" s="66">
        <v>0.15302202101497875</v>
      </c>
      <c r="N759" s="64">
        <v>2629.73</v>
      </c>
      <c r="O759" s="64" t="s">
        <v>22</v>
      </c>
    </row>
    <row r="760" spans="1:15" x14ac:dyDescent="0.3">
      <c r="A760" s="64">
        <v>759</v>
      </c>
      <c r="B760" s="64">
        <v>2600</v>
      </c>
      <c r="C760" s="64" t="s">
        <v>34</v>
      </c>
      <c r="D760" s="64" t="s">
        <v>14</v>
      </c>
      <c r="E760" s="64">
        <v>40964</v>
      </c>
      <c r="F760" s="64">
        <v>4</v>
      </c>
      <c r="G760" s="64">
        <v>163856</v>
      </c>
      <c r="H760" s="65">
        <v>45627</v>
      </c>
      <c r="I760" s="64" t="s">
        <v>30</v>
      </c>
      <c r="J760" s="64" t="s">
        <v>27</v>
      </c>
      <c r="K760" s="64" t="s">
        <v>17</v>
      </c>
      <c r="L760" s="64">
        <v>2.2000000000000002</v>
      </c>
      <c r="M760" s="66">
        <v>0.18521006249389707</v>
      </c>
      <c r="N760" s="64">
        <v>18809.02</v>
      </c>
      <c r="O760" s="64" t="s">
        <v>22</v>
      </c>
    </row>
    <row r="761" spans="1:15" x14ac:dyDescent="0.3">
      <c r="A761" s="64">
        <v>760</v>
      </c>
      <c r="B761" s="64">
        <v>1085</v>
      </c>
      <c r="C761" s="64" t="s">
        <v>32</v>
      </c>
      <c r="D761" s="64" t="s">
        <v>14</v>
      </c>
      <c r="E761" s="64">
        <v>15475</v>
      </c>
      <c r="F761" s="64">
        <v>1</v>
      </c>
      <c r="G761" s="64">
        <v>15475</v>
      </c>
      <c r="H761" s="65">
        <v>45548</v>
      </c>
      <c r="I761" s="64" t="s">
        <v>33</v>
      </c>
      <c r="J761" s="64" t="s">
        <v>27</v>
      </c>
      <c r="K761" s="64" t="s">
        <v>24</v>
      </c>
      <c r="L761" s="64">
        <v>1.3</v>
      </c>
      <c r="M761" s="66">
        <v>0.23928400646203554</v>
      </c>
      <c r="N761" s="64">
        <v>939.58</v>
      </c>
      <c r="O761" s="64" t="s">
        <v>18</v>
      </c>
    </row>
    <row r="762" spans="1:15" x14ac:dyDescent="0.3">
      <c r="A762" s="64">
        <v>761</v>
      </c>
      <c r="B762" s="64">
        <v>2092</v>
      </c>
      <c r="C762" s="64" t="s">
        <v>19</v>
      </c>
      <c r="D762" s="64" t="s">
        <v>25</v>
      </c>
      <c r="E762" s="64">
        <v>40219</v>
      </c>
      <c r="F762" s="64">
        <v>4</v>
      </c>
      <c r="G762" s="64">
        <v>160876</v>
      </c>
      <c r="H762" s="65">
        <v>45491</v>
      </c>
      <c r="I762" s="64" t="s">
        <v>30</v>
      </c>
      <c r="J762" s="64" t="s">
        <v>16</v>
      </c>
      <c r="K762" s="64" t="s">
        <v>24</v>
      </c>
      <c r="L762" s="64">
        <v>2.9</v>
      </c>
      <c r="M762" s="66">
        <v>0.16961143986672966</v>
      </c>
      <c r="N762" s="64">
        <v>20976.39</v>
      </c>
      <c r="O762" s="64" t="s">
        <v>22</v>
      </c>
    </row>
    <row r="763" spans="1:15" x14ac:dyDescent="0.3">
      <c r="A763" s="64">
        <v>762</v>
      </c>
      <c r="B763" s="64">
        <v>7568</v>
      </c>
      <c r="C763" s="64" t="s">
        <v>32</v>
      </c>
      <c r="D763" s="64" t="s">
        <v>14</v>
      </c>
      <c r="E763" s="64">
        <v>43219</v>
      </c>
      <c r="F763" s="64">
        <v>3</v>
      </c>
      <c r="G763" s="64">
        <v>129657</v>
      </c>
      <c r="H763" s="65">
        <v>45652</v>
      </c>
      <c r="I763" s="64" t="s">
        <v>15</v>
      </c>
      <c r="J763" s="64" t="s">
        <v>16</v>
      </c>
      <c r="K763" s="64" t="s">
        <v>28</v>
      </c>
      <c r="L763" s="64">
        <v>3.6</v>
      </c>
      <c r="M763" s="66">
        <v>0.23388077774435626</v>
      </c>
      <c r="N763" s="64">
        <v>8572.82</v>
      </c>
      <c r="O763" s="64" t="s">
        <v>22</v>
      </c>
    </row>
    <row r="764" spans="1:15" x14ac:dyDescent="0.3">
      <c r="A764" s="64">
        <v>763</v>
      </c>
      <c r="B764" s="64">
        <v>1057</v>
      </c>
      <c r="C764" s="64" t="s">
        <v>32</v>
      </c>
      <c r="D764" s="64" t="s">
        <v>25</v>
      </c>
      <c r="E764" s="64">
        <v>29885</v>
      </c>
      <c r="F764" s="64">
        <v>4</v>
      </c>
      <c r="G764" s="64">
        <v>119540</v>
      </c>
      <c r="H764" s="65">
        <v>45515</v>
      </c>
      <c r="I764" s="64" t="s">
        <v>15</v>
      </c>
      <c r="J764" s="64" t="s">
        <v>31</v>
      </c>
      <c r="K764" s="64" t="s">
        <v>28</v>
      </c>
      <c r="L764" s="64">
        <v>2.4</v>
      </c>
      <c r="M764" s="66">
        <v>8.2208465785511137E-2</v>
      </c>
      <c r="N764" s="64">
        <v>26034.799999999999</v>
      </c>
      <c r="O764" s="64" t="s">
        <v>22</v>
      </c>
    </row>
    <row r="765" spans="1:15" x14ac:dyDescent="0.3">
      <c r="A765" s="64">
        <v>764</v>
      </c>
      <c r="B765" s="64">
        <v>5873</v>
      </c>
      <c r="C765" s="64" t="s">
        <v>29</v>
      </c>
      <c r="D765" s="64" t="s">
        <v>20</v>
      </c>
      <c r="E765" s="64">
        <v>35765</v>
      </c>
      <c r="F765" s="64">
        <v>2</v>
      </c>
      <c r="G765" s="64">
        <v>71530</v>
      </c>
      <c r="H765" s="65">
        <v>45388</v>
      </c>
      <c r="I765" s="64" t="s">
        <v>26</v>
      </c>
      <c r="J765" s="64" t="s">
        <v>27</v>
      </c>
      <c r="K765" s="64" t="s">
        <v>17</v>
      </c>
      <c r="L765" s="64">
        <v>1.3</v>
      </c>
      <c r="M765" s="66">
        <v>0.14847518523696351</v>
      </c>
      <c r="N765" s="64">
        <v>10838.57</v>
      </c>
      <c r="O765" s="64" t="s">
        <v>18</v>
      </c>
    </row>
    <row r="766" spans="1:15" x14ac:dyDescent="0.3">
      <c r="A766" s="64">
        <v>765</v>
      </c>
      <c r="B766" s="64">
        <v>6526</v>
      </c>
      <c r="C766" s="64" t="s">
        <v>13</v>
      </c>
      <c r="D766" s="64" t="s">
        <v>25</v>
      </c>
      <c r="E766" s="64">
        <v>17038</v>
      </c>
      <c r="F766" s="64">
        <v>3</v>
      </c>
      <c r="G766" s="64">
        <v>51114</v>
      </c>
      <c r="H766" s="65">
        <v>45309</v>
      </c>
      <c r="I766" s="64" t="s">
        <v>26</v>
      </c>
      <c r="J766" s="64" t="s">
        <v>21</v>
      </c>
      <c r="K766" s="64" t="s">
        <v>28</v>
      </c>
      <c r="L766" s="64">
        <v>1.9</v>
      </c>
      <c r="M766" s="66">
        <v>0.13651758813632273</v>
      </c>
      <c r="N766" s="64">
        <v>8356.24</v>
      </c>
      <c r="O766" s="64" t="s">
        <v>18</v>
      </c>
    </row>
    <row r="767" spans="1:15" x14ac:dyDescent="0.3">
      <c r="A767" s="64">
        <v>766</v>
      </c>
      <c r="B767" s="64">
        <v>6017</v>
      </c>
      <c r="C767" s="64" t="s">
        <v>19</v>
      </c>
      <c r="D767" s="64" t="s">
        <v>14</v>
      </c>
      <c r="E767" s="64">
        <v>11690</v>
      </c>
      <c r="F767" s="64">
        <v>5</v>
      </c>
      <c r="G767" s="64">
        <v>58450</v>
      </c>
      <c r="H767" s="65">
        <v>45603</v>
      </c>
      <c r="I767" s="64" t="s">
        <v>26</v>
      </c>
      <c r="J767" s="64" t="s">
        <v>27</v>
      </c>
      <c r="K767" s="64" t="s">
        <v>17</v>
      </c>
      <c r="L767" s="64">
        <v>1.6</v>
      </c>
      <c r="M767" s="66">
        <v>0.11991462788708299</v>
      </c>
      <c r="N767" s="64">
        <v>10525.99</v>
      </c>
      <c r="O767" s="64" t="s">
        <v>18</v>
      </c>
    </row>
    <row r="768" spans="1:15" x14ac:dyDescent="0.3">
      <c r="A768" s="64">
        <v>767</v>
      </c>
      <c r="B768" s="64">
        <v>6940</v>
      </c>
      <c r="C768" s="64" t="s">
        <v>29</v>
      </c>
      <c r="D768" s="64" t="s">
        <v>25</v>
      </c>
      <c r="E768" s="64">
        <v>38762</v>
      </c>
      <c r="F768" s="64">
        <v>5</v>
      </c>
      <c r="G768" s="64">
        <v>193810</v>
      </c>
      <c r="H768" s="65">
        <v>45646</v>
      </c>
      <c r="I768" s="64" t="s">
        <v>33</v>
      </c>
      <c r="J768" s="64" t="s">
        <v>27</v>
      </c>
      <c r="K768" s="64" t="s">
        <v>24</v>
      </c>
      <c r="L768" s="64">
        <v>2.6</v>
      </c>
      <c r="M768" s="66">
        <v>0.19754857850472113</v>
      </c>
      <c r="N768" s="64">
        <v>19856.11</v>
      </c>
      <c r="O768" s="64" t="s">
        <v>22</v>
      </c>
    </row>
    <row r="769" spans="1:15" x14ac:dyDescent="0.3">
      <c r="A769" s="64">
        <v>768</v>
      </c>
      <c r="B769" s="64">
        <v>3184</v>
      </c>
      <c r="C769" s="64" t="s">
        <v>29</v>
      </c>
      <c r="D769" s="64" t="s">
        <v>25</v>
      </c>
      <c r="E769" s="64">
        <v>11347</v>
      </c>
      <c r="F769" s="64">
        <v>3</v>
      </c>
      <c r="G769" s="64">
        <v>34041</v>
      </c>
      <c r="H769" s="65">
        <v>45431</v>
      </c>
      <c r="I769" s="64" t="s">
        <v>15</v>
      </c>
      <c r="J769" s="64" t="s">
        <v>35</v>
      </c>
      <c r="K769" s="64" t="s">
        <v>24</v>
      </c>
      <c r="L769" s="64">
        <v>1.9</v>
      </c>
      <c r="M769" s="66">
        <v>0.17490761140977057</v>
      </c>
      <c r="N769" s="64">
        <v>4258.2700000000004</v>
      </c>
      <c r="O769" s="64" t="s">
        <v>18</v>
      </c>
    </row>
    <row r="770" spans="1:15" x14ac:dyDescent="0.3">
      <c r="A770" s="64">
        <v>769</v>
      </c>
      <c r="B770" s="64">
        <v>5477</v>
      </c>
      <c r="C770" s="64" t="s">
        <v>23</v>
      </c>
      <c r="D770" s="64" t="s">
        <v>25</v>
      </c>
      <c r="E770" s="64">
        <v>4451</v>
      </c>
      <c r="F770" s="64">
        <v>1</v>
      </c>
      <c r="G770" s="64">
        <v>4451</v>
      </c>
      <c r="H770" s="65">
        <v>45412</v>
      </c>
      <c r="I770" s="64" t="s">
        <v>26</v>
      </c>
      <c r="J770" s="64" t="s">
        <v>31</v>
      </c>
      <c r="K770" s="64" t="s">
        <v>24</v>
      </c>
      <c r="L770" s="64">
        <v>2.5</v>
      </c>
      <c r="M770" s="66">
        <v>0.17145135924511345</v>
      </c>
      <c r="N770" s="64">
        <v>572.16999999999996</v>
      </c>
      <c r="O770" s="64" t="s">
        <v>22</v>
      </c>
    </row>
    <row r="771" spans="1:15" x14ac:dyDescent="0.3">
      <c r="A771" s="64">
        <v>770</v>
      </c>
      <c r="B771" s="64">
        <v>8662</v>
      </c>
      <c r="C771" s="64" t="s">
        <v>29</v>
      </c>
      <c r="D771" s="64" t="s">
        <v>25</v>
      </c>
      <c r="E771" s="64">
        <v>41430</v>
      </c>
      <c r="F771" s="64">
        <v>1</v>
      </c>
      <c r="G771" s="64">
        <v>41430</v>
      </c>
      <c r="H771" s="65">
        <v>45418</v>
      </c>
      <c r="I771" s="64" t="s">
        <v>26</v>
      </c>
      <c r="J771" s="64" t="s">
        <v>16</v>
      </c>
      <c r="K771" s="64" t="s">
        <v>24</v>
      </c>
      <c r="L771" s="64">
        <v>2.1</v>
      </c>
      <c r="M771" s="66">
        <v>0.12374342264059859</v>
      </c>
      <c r="N771" s="64">
        <v>7302.31</v>
      </c>
      <c r="O771" s="64" t="s">
        <v>18</v>
      </c>
    </row>
    <row r="772" spans="1:15" x14ac:dyDescent="0.3">
      <c r="A772" s="64">
        <v>771</v>
      </c>
      <c r="B772" s="64">
        <v>2768</v>
      </c>
      <c r="C772" s="64" t="s">
        <v>29</v>
      </c>
      <c r="D772" s="64" t="s">
        <v>25</v>
      </c>
      <c r="E772" s="64">
        <v>37962</v>
      </c>
      <c r="F772" s="64">
        <v>3</v>
      </c>
      <c r="G772" s="64">
        <v>113886</v>
      </c>
      <c r="H772" s="65">
        <v>45618</v>
      </c>
      <c r="I772" s="64" t="s">
        <v>26</v>
      </c>
      <c r="J772" s="64" t="s">
        <v>21</v>
      </c>
      <c r="K772" s="64" t="s">
        <v>24</v>
      </c>
      <c r="L772" s="64">
        <v>4.5999999999999996</v>
      </c>
      <c r="M772" s="66">
        <v>0.11257090423757091</v>
      </c>
      <c r="N772" s="64">
        <v>21345.55</v>
      </c>
      <c r="O772" s="64" t="s">
        <v>18</v>
      </c>
    </row>
    <row r="773" spans="1:15" x14ac:dyDescent="0.3">
      <c r="A773" s="64">
        <v>772</v>
      </c>
      <c r="B773" s="64">
        <v>9585</v>
      </c>
      <c r="C773" s="64" t="s">
        <v>34</v>
      </c>
      <c r="D773" s="64" t="s">
        <v>25</v>
      </c>
      <c r="E773" s="64">
        <v>29634</v>
      </c>
      <c r="F773" s="64">
        <v>3</v>
      </c>
      <c r="G773" s="64">
        <v>88902</v>
      </c>
      <c r="H773" s="65">
        <v>45516</v>
      </c>
      <c r="I773" s="64" t="s">
        <v>26</v>
      </c>
      <c r="J773" s="64" t="s">
        <v>27</v>
      </c>
      <c r="K773" s="64" t="s">
        <v>28</v>
      </c>
      <c r="L773" s="64">
        <v>5</v>
      </c>
      <c r="M773" s="66">
        <v>0.17265708308024566</v>
      </c>
      <c r="N773" s="64">
        <v>11321.04</v>
      </c>
      <c r="O773" s="64" t="s">
        <v>18</v>
      </c>
    </row>
    <row r="774" spans="1:15" x14ac:dyDescent="0.3">
      <c r="A774" s="64">
        <v>773</v>
      </c>
      <c r="B774" s="64">
        <v>1321</v>
      </c>
      <c r="C774" s="64" t="s">
        <v>19</v>
      </c>
      <c r="D774" s="64" t="s">
        <v>25</v>
      </c>
      <c r="E774" s="64">
        <v>44826</v>
      </c>
      <c r="F774" s="64">
        <v>1</v>
      </c>
      <c r="G774" s="64">
        <v>44826</v>
      </c>
      <c r="H774" s="65">
        <v>45331</v>
      </c>
      <c r="I774" s="64" t="s">
        <v>33</v>
      </c>
      <c r="J774" s="64" t="s">
        <v>35</v>
      </c>
      <c r="K774" s="64" t="s">
        <v>28</v>
      </c>
      <c r="L774" s="64">
        <v>4.0999999999999996</v>
      </c>
      <c r="M774" s="66">
        <v>0.18987774952036762</v>
      </c>
      <c r="N774" s="64">
        <v>4936.34</v>
      </c>
      <c r="O774" s="64" t="s">
        <v>22</v>
      </c>
    </row>
    <row r="775" spans="1:15" x14ac:dyDescent="0.3">
      <c r="A775" s="64">
        <v>774</v>
      </c>
      <c r="B775" s="64">
        <v>9771</v>
      </c>
      <c r="C775" s="64" t="s">
        <v>23</v>
      </c>
      <c r="D775" s="64" t="s">
        <v>20</v>
      </c>
      <c r="E775" s="64">
        <v>4585</v>
      </c>
      <c r="F775" s="64">
        <v>4</v>
      </c>
      <c r="G775" s="64">
        <v>18340</v>
      </c>
      <c r="H775" s="65">
        <v>45607</v>
      </c>
      <c r="I775" s="64" t="s">
        <v>30</v>
      </c>
      <c r="J775" s="64" t="s">
        <v>21</v>
      </c>
      <c r="K775" s="64" t="s">
        <v>24</v>
      </c>
      <c r="L775" s="64">
        <v>4.2</v>
      </c>
      <c r="M775" s="66">
        <v>0.12024100327153761</v>
      </c>
      <c r="N775" s="64">
        <v>3296.78</v>
      </c>
      <c r="O775" s="64" t="s">
        <v>18</v>
      </c>
    </row>
    <row r="776" spans="1:15" x14ac:dyDescent="0.3">
      <c r="A776" s="64">
        <v>775</v>
      </c>
      <c r="B776" s="64">
        <v>6717</v>
      </c>
      <c r="C776" s="64" t="s">
        <v>13</v>
      </c>
      <c r="D776" s="64" t="s">
        <v>20</v>
      </c>
      <c r="E776" s="64">
        <v>29975</v>
      </c>
      <c r="F776" s="64">
        <v>3</v>
      </c>
      <c r="G776" s="64">
        <v>89925</v>
      </c>
      <c r="H776" s="65">
        <v>45347</v>
      </c>
      <c r="I776" s="64" t="s">
        <v>26</v>
      </c>
      <c r="J776" s="64" t="s">
        <v>27</v>
      </c>
      <c r="K776" s="64" t="s">
        <v>28</v>
      </c>
      <c r="L776" s="64">
        <v>1.6</v>
      </c>
      <c r="M776" s="66">
        <v>0.27658971365026414</v>
      </c>
      <c r="N776" s="64">
        <v>2105.17</v>
      </c>
      <c r="O776" s="64" t="s">
        <v>18</v>
      </c>
    </row>
    <row r="777" spans="1:15" x14ac:dyDescent="0.3">
      <c r="A777" s="64">
        <v>776</v>
      </c>
      <c r="B777" s="64">
        <v>1602</v>
      </c>
      <c r="C777" s="64" t="s">
        <v>29</v>
      </c>
      <c r="D777" s="64" t="s">
        <v>25</v>
      </c>
      <c r="E777" s="64">
        <v>47734</v>
      </c>
      <c r="F777" s="64">
        <v>2</v>
      </c>
      <c r="G777" s="64">
        <v>95468</v>
      </c>
      <c r="H777" s="65">
        <v>45577</v>
      </c>
      <c r="I777" s="64" t="s">
        <v>26</v>
      </c>
      <c r="J777" s="64" t="s">
        <v>35</v>
      </c>
      <c r="K777" s="64" t="s">
        <v>24</v>
      </c>
      <c r="L777" s="64">
        <v>2.9</v>
      </c>
      <c r="M777" s="66">
        <v>7.4258599740227083E-2</v>
      </c>
      <c r="N777" s="64">
        <v>21551.08</v>
      </c>
      <c r="O777" s="64" t="s">
        <v>22</v>
      </c>
    </row>
    <row r="778" spans="1:15" x14ac:dyDescent="0.3">
      <c r="A778" s="64">
        <v>777</v>
      </c>
      <c r="B778" s="64">
        <v>4407</v>
      </c>
      <c r="C778" s="64" t="s">
        <v>19</v>
      </c>
      <c r="D778" s="64" t="s">
        <v>14</v>
      </c>
      <c r="E778" s="64">
        <v>12352</v>
      </c>
      <c r="F778" s="64">
        <v>1</v>
      </c>
      <c r="G778" s="64">
        <v>12352</v>
      </c>
      <c r="H778" s="65">
        <v>45613</v>
      </c>
      <c r="I778" s="64" t="s">
        <v>30</v>
      </c>
      <c r="J778" s="64" t="s">
        <v>21</v>
      </c>
      <c r="K778" s="64" t="s">
        <v>28</v>
      </c>
      <c r="L778" s="64">
        <v>2.6</v>
      </c>
      <c r="M778" s="66">
        <v>8.8593749999999999E-2</v>
      </c>
      <c r="N778" s="64">
        <v>2611.29</v>
      </c>
      <c r="O778" s="64" t="s">
        <v>22</v>
      </c>
    </row>
    <row r="779" spans="1:15" x14ac:dyDescent="0.3">
      <c r="A779" s="64">
        <v>778</v>
      </c>
      <c r="B779" s="64">
        <v>4081</v>
      </c>
      <c r="C779" s="64" t="s">
        <v>32</v>
      </c>
      <c r="D779" s="64" t="s">
        <v>25</v>
      </c>
      <c r="E779" s="64">
        <v>14226</v>
      </c>
      <c r="F779" s="64">
        <v>5</v>
      </c>
      <c r="G779" s="64">
        <v>71130</v>
      </c>
      <c r="H779" s="65">
        <v>45325</v>
      </c>
      <c r="I779" s="64" t="s">
        <v>33</v>
      </c>
      <c r="J779" s="64" t="s">
        <v>31</v>
      </c>
      <c r="K779" s="64" t="s">
        <v>17</v>
      </c>
      <c r="L779" s="64">
        <v>1.3</v>
      </c>
      <c r="M779" s="66">
        <v>0.26319105862505271</v>
      </c>
      <c r="N779" s="64">
        <v>2618.2199999999998</v>
      </c>
      <c r="O779" s="64" t="s">
        <v>18</v>
      </c>
    </row>
    <row r="780" spans="1:15" x14ac:dyDescent="0.3">
      <c r="A780" s="64">
        <v>779</v>
      </c>
      <c r="B780" s="64">
        <v>8160</v>
      </c>
      <c r="C780" s="64" t="s">
        <v>19</v>
      </c>
      <c r="D780" s="64" t="s">
        <v>25</v>
      </c>
      <c r="E780" s="64">
        <v>48415</v>
      </c>
      <c r="F780" s="64">
        <v>5</v>
      </c>
      <c r="G780" s="64">
        <v>242075</v>
      </c>
      <c r="H780" s="65">
        <v>45400</v>
      </c>
      <c r="I780" s="64" t="s">
        <v>30</v>
      </c>
      <c r="J780" s="64" t="s">
        <v>16</v>
      </c>
      <c r="K780" s="64" t="s">
        <v>17</v>
      </c>
      <c r="L780" s="64">
        <v>4.4000000000000004</v>
      </c>
      <c r="M780" s="66">
        <v>8.5161045130641336E-2</v>
      </c>
      <c r="N780" s="64">
        <v>52007.14</v>
      </c>
      <c r="O780" s="64" t="s">
        <v>22</v>
      </c>
    </row>
    <row r="781" spans="1:15" x14ac:dyDescent="0.3">
      <c r="A781" s="64">
        <v>780</v>
      </c>
      <c r="B781" s="64">
        <v>6623</v>
      </c>
      <c r="C781" s="64" t="s">
        <v>13</v>
      </c>
      <c r="D781" s="64" t="s">
        <v>14</v>
      </c>
      <c r="E781" s="64">
        <v>7432</v>
      </c>
      <c r="F781" s="64">
        <v>2</v>
      </c>
      <c r="G781" s="64">
        <v>14864</v>
      </c>
      <c r="H781" s="65">
        <v>45358</v>
      </c>
      <c r="I781" s="64" t="s">
        <v>33</v>
      </c>
      <c r="J781" s="64" t="s">
        <v>16</v>
      </c>
      <c r="K781" s="64" t="s">
        <v>28</v>
      </c>
      <c r="L781" s="64">
        <v>4.2</v>
      </c>
      <c r="M781" s="66">
        <v>0.27624394510226052</v>
      </c>
      <c r="N781" s="64">
        <v>353.11</v>
      </c>
      <c r="O781" s="64" t="s">
        <v>22</v>
      </c>
    </row>
    <row r="782" spans="1:15" x14ac:dyDescent="0.3">
      <c r="A782" s="64">
        <v>781</v>
      </c>
      <c r="B782" s="64">
        <v>5885</v>
      </c>
      <c r="C782" s="64" t="s">
        <v>34</v>
      </c>
      <c r="D782" s="64" t="s">
        <v>20</v>
      </c>
      <c r="E782" s="64">
        <v>19792</v>
      </c>
      <c r="F782" s="64">
        <v>1</v>
      </c>
      <c r="G782" s="64">
        <v>19792</v>
      </c>
      <c r="H782" s="65">
        <v>45355</v>
      </c>
      <c r="I782" s="64" t="s">
        <v>33</v>
      </c>
      <c r="J782" s="64" t="s">
        <v>21</v>
      </c>
      <c r="K782" s="64" t="s">
        <v>28</v>
      </c>
      <c r="L782" s="64">
        <v>4.5999999999999996</v>
      </c>
      <c r="M782" s="66">
        <v>0.1070604284559418</v>
      </c>
      <c r="N782" s="64">
        <v>3818.66</v>
      </c>
      <c r="O782" s="64" t="s">
        <v>22</v>
      </c>
    </row>
    <row r="783" spans="1:15" x14ac:dyDescent="0.3">
      <c r="A783" s="64">
        <v>782</v>
      </c>
      <c r="B783" s="64">
        <v>2400</v>
      </c>
      <c r="C783" s="64" t="s">
        <v>19</v>
      </c>
      <c r="D783" s="64" t="s">
        <v>20</v>
      </c>
      <c r="E783" s="64">
        <v>49024</v>
      </c>
      <c r="F783" s="64">
        <v>1</v>
      </c>
      <c r="G783" s="64">
        <v>49024</v>
      </c>
      <c r="H783" s="65">
        <v>45497</v>
      </c>
      <c r="I783" s="64" t="s">
        <v>15</v>
      </c>
      <c r="J783" s="64" t="s">
        <v>27</v>
      </c>
      <c r="K783" s="64" t="s">
        <v>24</v>
      </c>
      <c r="L783" s="64">
        <v>2.2000000000000002</v>
      </c>
      <c r="M783" s="66">
        <v>0.2897666449086162</v>
      </c>
      <c r="N783" s="64">
        <v>501.68</v>
      </c>
      <c r="O783" s="64" t="s">
        <v>22</v>
      </c>
    </row>
    <row r="784" spans="1:15" x14ac:dyDescent="0.3">
      <c r="A784" s="64">
        <v>783</v>
      </c>
      <c r="B784" s="64">
        <v>9122</v>
      </c>
      <c r="C784" s="64" t="s">
        <v>13</v>
      </c>
      <c r="D784" s="64" t="s">
        <v>25</v>
      </c>
      <c r="E784" s="64">
        <v>35441</v>
      </c>
      <c r="F784" s="64">
        <v>1</v>
      </c>
      <c r="G784" s="64">
        <v>35441</v>
      </c>
      <c r="H784" s="65">
        <v>45625</v>
      </c>
      <c r="I784" s="64" t="s">
        <v>15</v>
      </c>
      <c r="J784" s="64" t="s">
        <v>31</v>
      </c>
      <c r="K784" s="64" t="s">
        <v>17</v>
      </c>
      <c r="L784" s="64">
        <v>1.4</v>
      </c>
      <c r="M784" s="66">
        <v>0.14073615304308568</v>
      </c>
      <c r="N784" s="64">
        <v>5644.47</v>
      </c>
      <c r="O784" s="64" t="s">
        <v>22</v>
      </c>
    </row>
    <row r="785" spans="1:15" x14ac:dyDescent="0.3">
      <c r="A785" s="64">
        <v>784</v>
      </c>
      <c r="B785" s="64">
        <v>8839</v>
      </c>
      <c r="C785" s="64" t="s">
        <v>34</v>
      </c>
      <c r="D785" s="64" t="s">
        <v>25</v>
      </c>
      <c r="E785" s="64">
        <v>4954</v>
      </c>
      <c r="F785" s="64">
        <v>4</v>
      </c>
      <c r="G785" s="64">
        <v>19816</v>
      </c>
      <c r="H785" s="65">
        <v>45396</v>
      </c>
      <c r="I785" s="64" t="s">
        <v>26</v>
      </c>
      <c r="J785" s="64" t="s">
        <v>31</v>
      </c>
      <c r="K785" s="64" t="s">
        <v>28</v>
      </c>
      <c r="L785" s="64">
        <v>1.8</v>
      </c>
      <c r="M785" s="66">
        <v>0.26136505853855468</v>
      </c>
      <c r="N785" s="64">
        <v>765.59</v>
      </c>
      <c r="O785" s="64" t="s">
        <v>22</v>
      </c>
    </row>
    <row r="786" spans="1:15" x14ac:dyDescent="0.3">
      <c r="A786" s="64">
        <v>785</v>
      </c>
      <c r="B786" s="64">
        <v>8528</v>
      </c>
      <c r="C786" s="64" t="s">
        <v>23</v>
      </c>
      <c r="D786" s="64" t="s">
        <v>14</v>
      </c>
      <c r="E786" s="64">
        <v>23437</v>
      </c>
      <c r="F786" s="64">
        <v>4</v>
      </c>
      <c r="G786" s="64">
        <v>93748</v>
      </c>
      <c r="H786" s="65">
        <v>45384</v>
      </c>
      <c r="I786" s="64" t="s">
        <v>33</v>
      </c>
      <c r="J786" s="64" t="s">
        <v>21</v>
      </c>
      <c r="K786" s="64" t="s">
        <v>17</v>
      </c>
      <c r="L786" s="64">
        <v>3.3</v>
      </c>
      <c r="M786" s="66">
        <v>0.10443412126125357</v>
      </c>
      <c r="N786" s="64">
        <v>18333.91</v>
      </c>
      <c r="O786" s="64" t="s">
        <v>22</v>
      </c>
    </row>
    <row r="787" spans="1:15" x14ac:dyDescent="0.3">
      <c r="A787" s="64">
        <v>786</v>
      </c>
      <c r="B787" s="64">
        <v>5825</v>
      </c>
      <c r="C787" s="64" t="s">
        <v>13</v>
      </c>
      <c r="D787" s="64" t="s">
        <v>20</v>
      </c>
      <c r="E787" s="64">
        <v>42870</v>
      </c>
      <c r="F787" s="64">
        <v>2</v>
      </c>
      <c r="G787" s="64">
        <v>85740</v>
      </c>
      <c r="H787" s="65">
        <v>45531</v>
      </c>
      <c r="I787" s="64" t="s">
        <v>30</v>
      </c>
      <c r="J787" s="64" t="s">
        <v>27</v>
      </c>
      <c r="K787" s="64" t="s">
        <v>24</v>
      </c>
      <c r="L787" s="64">
        <v>2.9</v>
      </c>
      <c r="M787" s="66">
        <v>0.10717051551201305</v>
      </c>
      <c r="N787" s="64">
        <v>16533.2</v>
      </c>
      <c r="O787" s="64" t="s">
        <v>18</v>
      </c>
    </row>
    <row r="788" spans="1:15" x14ac:dyDescent="0.3">
      <c r="A788" s="64">
        <v>787</v>
      </c>
      <c r="B788" s="64">
        <v>7969</v>
      </c>
      <c r="C788" s="64" t="s">
        <v>29</v>
      </c>
      <c r="D788" s="64" t="s">
        <v>25</v>
      </c>
      <c r="E788" s="64">
        <v>46854</v>
      </c>
      <c r="F788" s="64">
        <v>3</v>
      </c>
      <c r="G788" s="64">
        <v>140562</v>
      </c>
      <c r="H788" s="65">
        <v>45408</v>
      </c>
      <c r="I788" s="64" t="s">
        <v>33</v>
      </c>
      <c r="J788" s="64" t="s">
        <v>35</v>
      </c>
      <c r="K788" s="64" t="s">
        <v>17</v>
      </c>
      <c r="L788" s="64">
        <v>3.8</v>
      </c>
      <c r="M788" s="66">
        <v>0.24739132909321154</v>
      </c>
      <c r="N788" s="64">
        <v>7394.78</v>
      </c>
      <c r="O788" s="64" t="s">
        <v>22</v>
      </c>
    </row>
    <row r="789" spans="1:15" x14ac:dyDescent="0.3">
      <c r="A789" s="64">
        <v>788</v>
      </c>
      <c r="B789" s="64">
        <v>2719</v>
      </c>
      <c r="C789" s="64" t="s">
        <v>13</v>
      </c>
      <c r="D789" s="64" t="s">
        <v>14</v>
      </c>
      <c r="E789" s="64">
        <v>10115</v>
      </c>
      <c r="F789" s="64">
        <v>3</v>
      </c>
      <c r="G789" s="64">
        <v>30345</v>
      </c>
      <c r="H789" s="65">
        <v>45595</v>
      </c>
      <c r="I789" s="64" t="s">
        <v>30</v>
      </c>
      <c r="J789" s="64" t="s">
        <v>35</v>
      </c>
      <c r="K789" s="64" t="s">
        <v>24</v>
      </c>
      <c r="L789" s="64">
        <v>2.8</v>
      </c>
      <c r="M789" s="66">
        <v>7.1765035425935084E-2</v>
      </c>
      <c r="N789" s="64">
        <v>6925.79</v>
      </c>
      <c r="O789" s="64" t="s">
        <v>18</v>
      </c>
    </row>
    <row r="790" spans="1:15" x14ac:dyDescent="0.3">
      <c r="A790" s="64">
        <v>789</v>
      </c>
      <c r="B790" s="64">
        <v>3858</v>
      </c>
      <c r="C790" s="64" t="s">
        <v>34</v>
      </c>
      <c r="D790" s="64" t="s">
        <v>20</v>
      </c>
      <c r="E790" s="64">
        <v>29715</v>
      </c>
      <c r="F790" s="64">
        <v>1</v>
      </c>
      <c r="G790" s="64">
        <v>29715</v>
      </c>
      <c r="H790" s="65">
        <v>45311</v>
      </c>
      <c r="I790" s="64" t="s">
        <v>26</v>
      </c>
      <c r="J790" s="64" t="s">
        <v>27</v>
      </c>
      <c r="K790" s="64" t="s">
        <v>24</v>
      </c>
      <c r="L790" s="64">
        <v>4.9000000000000004</v>
      </c>
      <c r="M790" s="66">
        <v>0.24047349823321554</v>
      </c>
      <c r="N790" s="64">
        <v>1768.83</v>
      </c>
      <c r="O790" s="64" t="s">
        <v>18</v>
      </c>
    </row>
    <row r="791" spans="1:15" x14ac:dyDescent="0.3">
      <c r="A791" s="64">
        <v>790</v>
      </c>
      <c r="B791" s="64">
        <v>4049</v>
      </c>
      <c r="C791" s="64" t="s">
        <v>34</v>
      </c>
      <c r="D791" s="64" t="s">
        <v>14</v>
      </c>
      <c r="E791" s="64">
        <v>34286</v>
      </c>
      <c r="F791" s="64">
        <v>3</v>
      </c>
      <c r="G791" s="64">
        <v>102858</v>
      </c>
      <c r="H791" s="65">
        <v>45616</v>
      </c>
      <c r="I791" s="64" t="s">
        <v>15</v>
      </c>
      <c r="J791" s="64" t="s">
        <v>27</v>
      </c>
      <c r="K791" s="64" t="s">
        <v>17</v>
      </c>
      <c r="L791" s="64">
        <v>1.4</v>
      </c>
      <c r="M791" s="66">
        <v>0.11989655641758541</v>
      </c>
      <c r="N791" s="64">
        <v>18525.080000000002</v>
      </c>
      <c r="O791" s="64" t="s">
        <v>18</v>
      </c>
    </row>
    <row r="792" spans="1:15" x14ac:dyDescent="0.3">
      <c r="A792" s="64">
        <v>791</v>
      </c>
      <c r="B792" s="64">
        <v>8059</v>
      </c>
      <c r="C792" s="64" t="s">
        <v>13</v>
      </c>
      <c r="D792" s="64" t="s">
        <v>14</v>
      </c>
      <c r="E792" s="64">
        <v>38644</v>
      </c>
      <c r="F792" s="64">
        <v>1</v>
      </c>
      <c r="G792" s="64">
        <v>38644</v>
      </c>
      <c r="H792" s="65">
        <v>45336</v>
      </c>
      <c r="I792" s="64" t="s">
        <v>30</v>
      </c>
      <c r="J792" s="64" t="s">
        <v>31</v>
      </c>
      <c r="K792" s="64" t="s">
        <v>24</v>
      </c>
      <c r="L792" s="64">
        <v>1.3</v>
      </c>
      <c r="M792" s="66">
        <v>0.26458803436497258</v>
      </c>
      <c r="N792" s="64">
        <v>1368.46</v>
      </c>
      <c r="O792" s="64" t="s">
        <v>18</v>
      </c>
    </row>
    <row r="793" spans="1:15" x14ac:dyDescent="0.3">
      <c r="A793" s="64">
        <v>792</v>
      </c>
      <c r="B793" s="64">
        <v>5984</v>
      </c>
      <c r="C793" s="64" t="s">
        <v>13</v>
      </c>
      <c r="D793" s="64" t="s">
        <v>14</v>
      </c>
      <c r="E793" s="64">
        <v>43721</v>
      </c>
      <c r="F793" s="64">
        <v>4</v>
      </c>
      <c r="G793" s="64">
        <v>174884</v>
      </c>
      <c r="H793" s="65">
        <v>45538</v>
      </c>
      <c r="I793" s="64" t="s">
        <v>26</v>
      </c>
      <c r="J793" s="64" t="s">
        <v>27</v>
      </c>
      <c r="K793" s="64" t="s">
        <v>24</v>
      </c>
      <c r="L793" s="64">
        <v>3.2</v>
      </c>
      <c r="M793" s="66">
        <v>0.21927403307335147</v>
      </c>
      <c r="N793" s="64">
        <v>14117.68</v>
      </c>
      <c r="O793" s="64" t="s">
        <v>22</v>
      </c>
    </row>
    <row r="794" spans="1:15" x14ac:dyDescent="0.3">
      <c r="A794" s="64">
        <v>793</v>
      </c>
      <c r="B794" s="64">
        <v>2986</v>
      </c>
      <c r="C794" s="64" t="s">
        <v>34</v>
      </c>
      <c r="D794" s="64" t="s">
        <v>25</v>
      </c>
      <c r="E794" s="64">
        <v>11846</v>
      </c>
      <c r="F794" s="64">
        <v>1</v>
      </c>
      <c r="G794" s="64">
        <v>11846</v>
      </c>
      <c r="H794" s="65">
        <v>45567</v>
      </c>
      <c r="I794" s="64" t="s">
        <v>33</v>
      </c>
      <c r="J794" s="64" t="s">
        <v>21</v>
      </c>
      <c r="K794" s="64" t="s">
        <v>28</v>
      </c>
      <c r="L794" s="64">
        <v>3.7</v>
      </c>
      <c r="M794" s="66">
        <v>0.19631858855309811</v>
      </c>
      <c r="N794" s="64">
        <v>1228.21</v>
      </c>
      <c r="O794" s="64" t="s">
        <v>18</v>
      </c>
    </row>
    <row r="795" spans="1:15" x14ac:dyDescent="0.3">
      <c r="A795" s="64">
        <v>794</v>
      </c>
      <c r="B795" s="64">
        <v>8931</v>
      </c>
      <c r="C795" s="64" t="s">
        <v>29</v>
      </c>
      <c r="D795" s="64" t="s">
        <v>25</v>
      </c>
      <c r="E795" s="64">
        <v>28337</v>
      </c>
      <c r="F795" s="64">
        <v>2</v>
      </c>
      <c r="G795" s="64">
        <v>56674</v>
      </c>
      <c r="H795" s="65">
        <v>45565</v>
      </c>
      <c r="I795" s="64" t="s">
        <v>15</v>
      </c>
      <c r="J795" s="64" t="s">
        <v>16</v>
      </c>
      <c r="K795" s="64" t="s">
        <v>24</v>
      </c>
      <c r="L795" s="64">
        <v>3.8</v>
      </c>
      <c r="M795" s="66">
        <v>0.10783780922468858</v>
      </c>
      <c r="N795" s="64">
        <v>10890.6</v>
      </c>
      <c r="O795" s="64" t="s">
        <v>18</v>
      </c>
    </row>
    <row r="796" spans="1:15" x14ac:dyDescent="0.3">
      <c r="A796" s="64">
        <v>795</v>
      </c>
      <c r="B796" s="64">
        <v>9998</v>
      </c>
      <c r="C796" s="64" t="s">
        <v>13</v>
      </c>
      <c r="D796" s="64" t="s">
        <v>25</v>
      </c>
      <c r="E796" s="64">
        <v>49892</v>
      </c>
      <c r="F796" s="64">
        <v>5</v>
      </c>
      <c r="G796" s="64">
        <v>249460</v>
      </c>
      <c r="H796" s="65">
        <v>45406</v>
      </c>
      <c r="I796" s="64" t="s">
        <v>15</v>
      </c>
      <c r="J796" s="64" t="s">
        <v>16</v>
      </c>
      <c r="K796" s="64" t="s">
        <v>24</v>
      </c>
      <c r="L796" s="64">
        <v>4.5</v>
      </c>
      <c r="M796" s="66">
        <v>5.048665116651968E-2</v>
      </c>
      <c r="N796" s="64">
        <v>62243.6</v>
      </c>
      <c r="O796" s="64" t="s">
        <v>18</v>
      </c>
    </row>
    <row r="797" spans="1:15" x14ac:dyDescent="0.3">
      <c r="A797" s="64">
        <v>796</v>
      </c>
      <c r="B797" s="64">
        <v>9705</v>
      </c>
      <c r="C797" s="64" t="s">
        <v>13</v>
      </c>
      <c r="D797" s="64" t="s">
        <v>25</v>
      </c>
      <c r="E797" s="64">
        <v>27621</v>
      </c>
      <c r="F797" s="64">
        <v>3</v>
      </c>
      <c r="G797" s="64">
        <v>82863</v>
      </c>
      <c r="H797" s="65">
        <v>45463</v>
      </c>
      <c r="I797" s="64" t="s">
        <v>33</v>
      </c>
      <c r="J797" s="64" t="s">
        <v>35</v>
      </c>
      <c r="K797" s="64" t="s">
        <v>24</v>
      </c>
      <c r="L797" s="64">
        <v>1.4</v>
      </c>
      <c r="M797" s="66">
        <v>0.10246370515187721</v>
      </c>
      <c r="N797" s="64">
        <v>16368.45</v>
      </c>
      <c r="O797" s="64" t="s">
        <v>18</v>
      </c>
    </row>
    <row r="798" spans="1:15" x14ac:dyDescent="0.3">
      <c r="A798" s="64">
        <v>797</v>
      </c>
      <c r="B798" s="64">
        <v>6209</v>
      </c>
      <c r="C798" s="64" t="s">
        <v>32</v>
      </c>
      <c r="D798" s="64" t="s">
        <v>14</v>
      </c>
      <c r="E798" s="64">
        <v>36014</v>
      </c>
      <c r="F798" s="64">
        <v>5</v>
      </c>
      <c r="G798" s="64">
        <v>180070</v>
      </c>
      <c r="H798" s="65">
        <v>45366</v>
      </c>
      <c r="I798" s="64" t="s">
        <v>15</v>
      </c>
      <c r="J798" s="64" t="s">
        <v>21</v>
      </c>
      <c r="K798" s="64" t="s">
        <v>28</v>
      </c>
      <c r="L798" s="64">
        <v>1.9</v>
      </c>
      <c r="M798" s="66">
        <v>8.8679402454600986E-2</v>
      </c>
      <c r="N798" s="64">
        <v>38052.5</v>
      </c>
      <c r="O798" s="64" t="s">
        <v>22</v>
      </c>
    </row>
    <row r="799" spans="1:15" x14ac:dyDescent="0.3">
      <c r="A799" s="64">
        <v>798</v>
      </c>
      <c r="B799" s="64">
        <v>4662</v>
      </c>
      <c r="C799" s="64" t="s">
        <v>32</v>
      </c>
      <c r="D799" s="64" t="s">
        <v>14</v>
      </c>
      <c r="E799" s="64">
        <v>6815</v>
      </c>
      <c r="F799" s="64">
        <v>5</v>
      </c>
      <c r="G799" s="64">
        <v>34075</v>
      </c>
      <c r="H799" s="65">
        <v>45627</v>
      </c>
      <c r="I799" s="64" t="s">
        <v>15</v>
      </c>
      <c r="J799" s="64" t="s">
        <v>21</v>
      </c>
      <c r="K799" s="64" t="s">
        <v>17</v>
      </c>
      <c r="L799" s="64">
        <v>2.8</v>
      </c>
      <c r="M799" s="66">
        <v>0.18979486426999267</v>
      </c>
      <c r="N799" s="64">
        <v>3755.24</v>
      </c>
      <c r="O799" s="64" t="s">
        <v>22</v>
      </c>
    </row>
    <row r="800" spans="1:15" x14ac:dyDescent="0.3">
      <c r="A800" s="64">
        <v>799</v>
      </c>
      <c r="B800" s="64">
        <v>8225</v>
      </c>
      <c r="C800" s="64" t="s">
        <v>34</v>
      </c>
      <c r="D800" s="64" t="s">
        <v>14</v>
      </c>
      <c r="E800" s="64">
        <v>47363</v>
      </c>
      <c r="F800" s="64">
        <v>5</v>
      </c>
      <c r="G800" s="64">
        <v>236815</v>
      </c>
      <c r="H800" s="65">
        <v>45589</v>
      </c>
      <c r="I800" s="64" t="s">
        <v>30</v>
      </c>
      <c r="J800" s="64" t="s">
        <v>16</v>
      </c>
      <c r="K800" s="64" t="s">
        <v>24</v>
      </c>
      <c r="L800" s="64">
        <v>2.9</v>
      </c>
      <c r="M800" s="66">
        <v>0.21333741528197117</v>
      </c>
      <c r="N800" s="64">
        <v>20523</v>
      </c>
      <c r="O800" s="64" t="s">
        <v>22</v>
      </c>
    </row>
    <row r="801" spans="1:15" x14ac:dyDescent="0.3">
      <c r="A801" s="64">
        <v>800</v>
      </c>
      <c r="B801" s="64">
        <v>5206</v>
      </c>
      <c r="C801" s="64" t="s">
        <v>19</v>
      </c>
      <c r="D801" s="64" t="s">
        <v>20</v>
      </c>
      <c r="E801" s="64">
        <v>39570</v>
      </c>
      <c r="F801" s="64">
        <v>2</v>
      </c>
      <c r="G801" s="64">
        <v>79140</v>
      </c>
      <c r="H801" s="65">
        <v>45482</v>
      </c>
      <c r="I801" s="64" t="s">
        <v>30</v>
      </c>
      <c r="J801" s="64" t="s">
        <v>31</v>
      </c>
      <c r="K801" s="64" t="s">
        <v>28</v>
      </c>
      <c r="L801" s="64">
        <v>4.5999999999999996</v>
      </c>
      <c r="M801" s="66">
        <v>0.23243366186504927</v>
      </c>
      <c r="N801" s="64">
        <v>5347.2</v>
      </c>
      <c r="O801" s="64" t="s">
        <v>18</v>
      </c>
    </row>
    <row r="802" spans="1:15" x14ac:dyDescent="0.3">
      <c r="A802" s="64">
        <v>801</v>
      </c>
      <c r="B802" s="64">
        <v>6494</v>
      </c>
      <c r="C802" s="64" t="s">
        <v>13</v>
      </c>
      <c r="D802" s="64" t="s">
        <v>25</v>
      </c>
      <c r="E802" s="64">
        <v>25478</v>
      </c>
      <c r="F802" s="64">
        <v>2</v>
      </c>
      <c r="G802" s="64">
        <v>50956</v>
      </c>
      <c r="H802" s="65">
        <v>45407</v>
      </c>
      <c r="I802" s="64" t="s">
        <v>15</v>
      </c>
      <c r="J802" s="64" t="s">
        <v>21</v>
      </c>
      <c r="K802" s="64" t="s">
        <v>17</v>
      </c>
      <c r="L802" s="64">
        <v>1.1000000000000001</v>
      </c>
      <c r="M802" s="66">
        <v>0.15716539759792764</v>
      </c>
      <c r="N802" s="64">
        <v>7278.28</v>
      </c>
      <c r="O802" s="64" t="s">
        <v>22</v>
      </c>
    </row>
    <row r="803" spans="1:15" x14ac:dyDescent="0.3">
      <c r="A803" s="64">
        <v>802</v>
      </c>
      <c r="B803" s="64">
        <v>6849</v>
      </c>
      <c r="C803" s="64" t="s">
        <v>23</v>
      </c>
      <c r="D803" s="64" t="s">
        <v>14</v>
      </c>
      <c r="E803" s="64">
        <v>30221</v>
      </c>
      <c r="F803" s="64">
        <v>3</v>
      </c>
      <c r="G803" s="64">
        <v>90663</v>
      </c>
      <c r="H803" s="65">
        <v>45305</v>
      </c>
      <c r="I803" s="64" t="s">
        <v>15</v>
      </c>
      <c r="J803" s="64" t="s">
        <v>27</v>
      </c>
      <c r="K803" s="64" t="s">
        <v>28</v>
      </c>
      <c r="L803" s="64">
        <v>1.3</v>
      </c>
      <c r="M803" s="66">
        <v>0.1353092220641276</v>
      </c>
      <c r="N803" s="64">
        <v>14931.36</v>
      </c>
      <c r="O803" s="64" t="s">
        <v>18</v>
      </c>
    </row>
    <row r="804" spans="1:15" x14ac:dyDescent="0.3">
      <c r="A804" s="64">
        <v>803</v>
      </c>
      <c r="B804" s="64">
        <v>7739</v>
      </c>
      <c r="C804" s="64" t="s">
        <v>13</v>
      </c>
      <c r="D804" s="64" t="s">
        <v>25</v>
      </c>
      <c r="E804" s="64">
        <v>9665</v>
      </c>
      <c r="F804" s="64">
        <v>5</v>
      </c>
      <c r="G804" s="64">
        <v>48325</v>
      </c>
      <c r="H804" s="65">
        <v>45605</v>
      </c>
      <c r="I804" s="64" t="s">
        <v>15</v>
      </c>
      <c r="J804" s="64" t="s">
        <v>31</v>
      </c>
      <c r="K804" s="64" t="s">
        <v>24</v>
      </c>
      <c r="L804" s="64">
        <v>2</v>
      </c>
      <c r="M804" s="66">
        <v>5.6770201758923951E-2</v>
      </c>
      <c r="N804" s="64">
        <v>11754.08</v>
      </c>
      <c r="O804" s="64" t="s">
        <v>18</v>
      </c>
    </row>
    <row r="805" spans="1:15" x14ac:dyDescent="0.3">
      <c r="A805" s="64">
        <v>804</v>
      </c>
      <c r="B805" s="64">
        <v>9171</v>
      </c>
      <c r="C805" s="64" t="s">
        <v>29</v>
      </c>
      <c r="D805" s="64" t="s">
        <v>20</v>
      </c>
      <c r="E805" s="64">
        <v>27017</v>
      </c>
      <c r="F805" s="64">
        <v>3</v>
      </c>
      <c r="G805" s="64">
        <v>81051</v>
      </c>
      <c r="H805" s="65">
        <v>45422</v>
      </c>
      <c r="I805" s="64" t="s">
        <v>26</v>
      </c>
      <c r="J805" s="64" t="s">
        <v>16</v>
      </c>
      <c r="K805" s="64" t="s">
        <v>24</v>
      </c>
      <c r="L805" s="64">
        <v>4.8</v>
      </c>
      <c r="M805" s="66">
        <v>7.9677980530776918E-2</v>
      </c>
      <c r="N805" s="64">
        <v>17857.32</v>
      </c>
      <c r="O805" s="64" t="s">
        <v>18</v>
      </c>
    </row>
    <row r="806" spans="1:15" x14ac:dyDescent="0.3">
      <c r="A806" s="64">
        <v>805</v>
      </c>
      <c r="B806" s="64">
        <v>1723</v>
      </c>
      <c r="C806" s="64" t="s">
        <v>29</v>
      </c>
      <c r="D806" s="64" t="s">
        <v>20</v>
      </c>
      <c r="E806" s="64">
        <v>20195</v>
      </c>
      <c r="F806" s="64">
        <v>2</v>
      </c>
      <c r="G806" s="64">
        <v>40390</v>
      </c>
      <c r="H806" s="65">
        <v>45387</v>
      </c>
      <c r="I806" s="64" t="s">
        <v>26</v>
      </c>
      <c r="J806" s="64" t="s">
        <v>16</v>
      </c>
      <c r="K806" s="64" t="s">
        <v>24</v>
      </c>
      <c r="L806" s="64">
        <v>3.1</v>
      </c>
      <c r="M806" s="66">
        <v>0.24363109680614015</v>
      </c>
      <c r="N806" s="64">
        <v>2276.7399999999998</v>
      </c>
      <c r="O806" s="64" t="s">
        <v>18</v>
      </c>
    </row>
    <row r="807" spans="1:15" x14ac:dyDescent="0.3">
      <c r="A807" s="64">
        <v>806</v>
      </c>
      <c r="B807" s="64">
        <v>6287</v>
      </c>
      <c r="C807" s="64" t="s">
        <v>13</v>
      </c>
      <c r="D807" s="64" t="s">
        <v>25</v>
      </c>
      <c r="E807" s="64">
        <v>33596</v>
      </c>
      <c r="F807" s="64">
        <v>1</v>
      </c>
      <c r="G807" s="64">
        <v>33596</v>
      </c>
      <c r="H807" s="65">
        <v>45607</v>
      </c>
      <c r="I807" s="64" t="s">
        <v>33</v>
      </c>
      <c r="J807" s="64" t="s">
        <v>35</v>
      </c>
      <c r="K807" s="64" t="s">
        <v>17</v>
      </c>
      <c r="L807" s="64">
        <v>4</v>
      </c>
      <c r="M807" s="66">
        <v>0.10204935111322776</v>
      </c>
      <c r="N807" s="64">
        <v>6650.35</v>
      </c>
      <c r="O807" s="64" t="s">
        <v>18</v>
      </c>
    </row>
    <row r="808" spans="1:15" x14ac:dyDescent="0.3">
      <c r="A808" s="64">
        <v>807</v>
      </c>
      <c r="B808" s="64">
        <v>2811</v>
      </c>
      <c r="C808" s="64" t="s">
        <v>32</v>
      </c>
      <c r="D808" s="64" t="s">
        <v>20</v>
      </c>
      <c r="E808" s="64">
        <v>21069</v>
      </c>
      <c r="F808" s="64">
        <v>2</v>
      </c>
      <c r="G808" s="64">
        <v>42138</v>
      </c>
      <c r="H808" s="65">
        <v>45518</v>
      </c>
      <c r="I808" s="64" t="s">
        <v>33</v>
      </c>
      <c r="J808" s="64" t="s">
        <v>21</v>
      </c>
      <c r="K808" s="64" t="s">
        <v>28</v>
      </c>
      <c r="L808" s="64">
        <v>2.7</v>
      </c>
      <c r="M808" s="66">
        <v>0.28392187574161087</v>
      </c>
      <c r="N808" s="64">
        <v>677.5</v>
      </c>
      <c r="O808" s="64" t="s">
        <v>22</v>
      </c>
    </row>
    <row r="809" spans="1:15" x14ac:dyDescent="0.3">
      <c r="A809" s="64">
        <v>808</v>
      </c>
      <c r="B809" s="64">
        <v>9735</v>
      </c>
      <c r="C809" s="64" t="s">
        <v>29</v>
      </c>
      <c r="D809" s="64" t="s">
        <v>14</v>
      </c>
      <c r="E809" s="64">
        <v>26892</v>
      </c>
      <c r="F809" s="64">
        <v>5</v>
      </c>
      <c r="G809" s="64">
        <v>134460</v>
      </c>
      <c r="H809" s="65">
        <v>45554</v>
      </c>
      <c r="I809" s="64" t="s">
        <v>33</v>
      </c>
      <c r="J809" s="64" t="s">
        <v>31</v>
      </c>
      <c r="K809" s="64" t="s">
        <v>24</v>
      </c>
      <c r="L809" s="64">
        <v>2.2999999999999998</v>
      </c>
      <c r="M809" s="66">
        <v>0.26593797411869696</v>
      </c>
      <c r="N809" s="64">
        <v>4579.9799999999996</v>
      </c>
      <c r="O809" s="64" t="s">
        <v>22</v>
      </c>
    </row>
    <row r="810" spans="1:15" x14ac:dyDescent="0.3">
      <c r="A810" s="64">
        <v>809</v>
      </c>
      <c r="B810" s="64">
        <v>4446</v>
      </c>
      <c r="C810" s="64" t="s">
        <v>19</v>
      </c>
      <c r="D810" s="64" t="s">
        <v>20</v>
      </c>
      <c r="E810" s="64">
        <v>10639</v>
      </c>
      <c r="F810" s="64">
        <v>2</v>
      </c>
      <c r="G810" s="64">
        <v>21278</v>
      </c>
      <c r="H810" s="65">
        <v>45566</v>
      </c>
      <c r="I810" s="64" t="s">
        <v>26</v>
      </c>
      <c r="J810" s="64" t="s">
        <v>21</v>
      </c>
      <c r="K810" s="64" t="s">
        <v>28</v>
      </c>
      <c r="L810" s="64">
        <v>1.1000000000000001</v>
      </c>
      <c r="M810" s="66">
        <v>0.23390544224081211</v>
      </c>
      <c r="N810" s="64">
        <v>1406.36</v>
      </c>
      <c r="O810" s="64" t="s">
        <v>22</v>
      </c>
    </row>
    <row r="811" spans="1:15" x14ac:dyDescent="0.3">
      <c r="A811" s="64">
        <v>810</v>
      </c>
      <c r="B811" s="64">
        <v>8534</v>
      </c>
      <c r="C811" s="64" t="s">
        <v>13</v>
      </c>
      <c r="D811" s="64" t="s">
        <v>20</v>
      </c>
      <c r="E811" s="64">
        <v>29486</v>
      </c>
      <c r="F811" s="64">
        <v>5</v>
      </c>
      <c r="G811" s="64">
        <v>147430</v>
      </c>
      <c r="H811" s="65">
        <v>45477</v>
      </c>
      <c r="I811" s="64" t="s">
        <v>30</v>
      </c>
      <c r="J811" s="64" t="s">
        <v>31</v>
      </c>
      <c r="K811" s="64" t="s">
        <v>17</v>
      </c>
      <c r="L811" s="64">
        <v>2.9</v>
      </c>
      <c r="M811" s="66">
        <v>0.28407386556331821</v>
      </c>
      <c r="N811" s="64">
        <v>2347.9899999999998</v>
      </c>
      <c r="O811" s="64" t="s">
        <v>22</v>
      </c>
    </row>
    <row r="812" spans="1:15" x14ac:dyDescent="0.3">
      <c r="A812" s="64">
        <v>811</v>
      </c>
      <c r="B812" s="64">
        <v>9257</v>
      </c>
      <c r="C812" s="64" t="s">
        <v>32</v>
      </c>
      <c r="D812" s="64" t="s">
        <v>14</v>
      </c>
      <c r="E812" s="64">
        <v>29620</v>
      </c>
      <c r="F812" s="64">
        <v>1</v>
      </c>
      <c r="G812" s="64">
        <v>29620</v>
      </c>
      <c r="H812" s="65">
        <v>45421</v>
      </c>
      <c r="I812" s="64" t="s">
        <v>15</v>
      </c>
      <c r="J812" s="64" t="s">
        <v>31</v>
      </c>
      <c r="K812" s="64" t="s">
        <v>28</v>
      </c>
      <c r="L812" s="64">
        <v>2</v>
      </c>
      <c r="M812" s="66">
        <v>0.24115496286293045</v>
      </c>
      <c r="N812" s="64">
        <v>1742.99</v>
      </c>
      <c r="O812" s="64" t="s">
        <v>22</v>
      </c>
    </row>
    <row r="813" spans="1:15" x14ac:dyDescent="0.3">
      <c r="A813" s="64">
        <v>812</v>
      </c>
      <c r="B813" s="64">
        <v>2750</v>
      </c>
      <c r="C813" s="64" t="s">
        <v>19</v>
      </c>
      <c r="D813" s="64" t="s">
        <v>25</v>
      </c>
      <c r="E813" s="64">
        <v>43563</v>
      </c>
      <c r="F813" s="64">
        <v>1</v>
      </c>
      <c r="G813" s="64">
        <v>43563</v>
      </c>
      <c r="H813" s="65">
        <v>45401</v>
      </c>
      <c r="I813" s="64" t="s">
        <v>33</v>
      </c>
      <c r="J813" s="64" t="s">
        <v>16</v>
      </c>
      <c r="K813" s="64" t="s">
        <v>24</v>
      </c>
      <c r="L813" s="64">
        <v>3.8</v>
      </c>
      <c r="M813" s="66">
        <v>0.17031402795950693</v>
      </c>
      <c r="N813" s="64">
        <v>5649.51</v>
      </c>
      <c r="O813" s="64" t="s">
        <v>18</v>
      </c>
    </row>
    <row r="814" spans="1:15" x14ac:dyDescent="0.3">
      <c r="A814" s="64">
        <v>813</v>
      </c>
      <c r="B814" s="64">
        <v>4630</v>
      </c>
      <c r="C814" s="64" t="s">
        <v>29</v>
      </c>
      <c r="D814" s="64" t="s">
        <v>14</v>
      </c>
      <c r="E814" s="64">
        <v>15527</v>
      </c>
      <c r="F814" s="64">
        <v>1</v>
      </c>
      <c r="G814" s="64">
        <v>15527</v>
      </c>
      <c r="H814" s="65">
        <v>45438</v>
      </c>
      <c r="I814" s="64" t="s">
        <v>30</v>
      </c>
      <c r="J814" s="64" t="s">
        <v>21</v>
      </c>
      <c r="K814" s="64" t="s">
        <v>24</v>
      </c>
      <c r="L814" s="64">
        <v>1.9</v>
      </c>
      <c r="M814" s="66">
        <v>6.1904424550782509E-2</v>
      </c>
      <c r="N814" s="64">
        <v>3696.91</v>
      </c>
      <c r="O814" s="64" t="s">
        <v>18</v>
      </c>
    </row>
    <row r="815" spans="1:15" x14ac:dyDescent="0.3">
      <c r="A815" s="64">
        <v>814</v>
      </c>
      <c r="B815" s="64">
        <v>1814</v>
      </c>
      <c r="C815" s="64" t="s">
        <v>29</v>
      </c>
      <c r="D815" s="64" t="s">
        <v>25</v>
      </c>
      <c r="E815" s="64">
        <v>37847</v>
      </c>
      <c r="F815" s="64">
        <v>4</v>
      </c>
      <c r="G815" s="64">
        <v>151388</v>
      </c>
      <c r="H815" s="65">
        <v>45655</v>
      </c>
      <c r="I815" s="64" t="s">
        <v>15</v>
      </c>
      <c r="J815" s="64" t="s">
        <v>31</v>
      </c>
      <c r="K815" s="64" t="s">
        <v>28</v>
      </c>
      <c r="L815" s="64">
        <v>1</v>
      </c>
      <c r="M815" s="66">
        <v>0.28695081512405213</v>
      </c>
      <c r="N815" s="64">
        <v>1975.49</v>
      </c>
      <c r="O815" s="64" t="s">
        <v>18</v>
      </c>
    </row>
    <row r="816" spans="1:15" x14ac:dyDescent="0.3">
      <c r="A816" s="64">
        <v>815</v>
      </c>
      <c r="B816" s="64">
        <v>2204</v>
      </c>
      <c r="C816" s="64" t="s">
        <v>13</v>
      </c>
      <c r="D816" s="64" t="s">
        <v>14</v>
      </c>
      <c r="E816" s="64">
        <v>40167</v>
      </c>
      <c r="F816" s="64">
        <v>4</v>
      </c>
      <c r="G816" s="64">
        <v>160668</v>
      </c>
      <c r="H816" s="65">
        <v>45626</v>
      </c>
      <c r="I816" s="64" t="s">
        <v>30</v>
      </c>
      <c r="J816" s="64" t="s">
        <v>31</v>
      </c>
      <c r="K816" s="64" t="s">
        <v>17</v>
      </c>
      <c r="L816" s="64">
        <v>3.6</v>
      </c>
      <c r="M816" s="66">
        <v>0.18117422262055918</v>
      </c>
      <c r="N816" s="64">
        <v>19091.5</v>
      </c>
      <c r="O816" s="64" t="s">
        <v>22</v>
      </c>
    </row>
    <row r="817" spans="1:15" x14ac:dyDescent="0.3">
      <c r="A817" s="64">
        <v>816</v>
      </c>
      <c r="B817" s="64">
        <v>4854</v>
      </c>
      <c r="C817" s="64" t="s">
        <v>32</v>
      </c>
      <c r="D817" s="64" t="s">
        <v>20</v>
      </c>
      <c r="E817" s="64">
        <v>21947</v>
      </c>
      <c r="F817" s="64">
        <v>5</v>
      </c>
      <c r="G817" s="64">
        <v>109735</v>
      </c>
      <c r="H817" s="65">
        <v>45610</v>
      </c>
      <c r="I817" s="64" t="s">
        <v>30</v>
      </c>
      <c r="J817" s="64" t="s">
        <v>16</v>
      </c>
      <c r="K817" s="64" t="s">
        <v>28</v>
      </c>
      <c r="L817" s="64">
        <v>4.0999999999999996</v>
      </c>
      <c r="M817" s="66">
        <v>0.15618079919806807</v>
      </c>
      <c r="N817" s="64">
        <v>15782</v>
      </c>
      <c r="O817" s="64" t="s">
        <v>22</v>
      </c>
    </row>
    <row r="818" spans="1:15" x14ac:dyDescent="0.3">
      <c r="A818" s="64">
        <v>817</v>
      </c>
      <c r="B818" s="64">
        <v>9440</v>
      </c>
      <c r="C818" s="64" t="s">
        <v>29</v>
      </c>
      <c r="D818" s="64" t="s">
        <v>25</v>
      </c>
      <c r="E818" s="64">
        <v>25445</v>
      </c>
      <c r="F818" s="64">
        <v>2</v>
      </c>
      <c r="G818" s="64">
        <v>50890</v>
      </c>
      <c r="H818" s="65">
        <v>45463</v>
      </c>
      <c r="I818" s="64" t="s">
        <v>26</v>
      </c>
      <c r="J818" s="64" t="s">
        <v>27</v>
      </c>
      <c r="K818" s="64" t="s">
        <v>17</v>
      </c>
      <c r="L818" s="64">
        <v>4.5</v>
      </c>
      <c r="M818" s="66">
        <v>0.21872902338376893</v>
      </c>
      <c r="N818" s="64">
        <v>4135.88</v>
      </c>
      <c r="O818" s="64" t="s">
        <v>18</v>
      </c>
    </row>
    <row r="819" spans="1:15" x14ac:dyDescent="0.3">
      <c r="A819" s="64">
        <v>818</v>
      </c>
      <c r="B819" s="64">
        <v>7578</v>
      </c>
      <c r="C819" s="64" t="s">
        <v>13</v>
      </c>
      <c r="D819" s="64" t="s">
        <v>20</v>
      </c>
      <c r="E819" s="64">
        <v>6325</v>
      </c>
      <c r="F819" s="64">
        <v>4</v>
      </c>
      <c r="G819" s="64">
        <v>25300</v>
      </c>
      <c r="H819" s="65">
        <v>45424</v>
      </c>
      <c r="I819" s="64" t="s">
        <v>15</v>
      </c>
      <c r="J819" s="64" t="s">
        <v>16</v>
      </c>
      <c r="K819" s="64" t="s">
        <v>24</v>
      </c>
      <c r="L819" s="64">
        <v>1.6</v>
      </c>
      <c r="M819" s="66">
        <v>0.14632371541501976</v>
      </c>
      <c r="N819" s="64">
        <v>3888.01</v>
      </c>
      <c r="O819" s="64" t="s">
        <v>18</v>
      </c>
    </row>
    <row r="820" spans="1:15" x14ac:dyDescent="0.3">
      <c r="A820" s="64">
        <v>819</v>
      </c>
      <c r="B820" s="64">
        <v>6418</v>
      </c>
      <c r="C820" s="64" t="s">
        <v>23</v>
      </c>
      <c r="D820" s="64" t="s">
        <v>20</v>
      </c>
      <c r="E820" s="64">
        <v>42607</v>
      </c>
      <c r="F820" s="64">
        <v>4</v>
      </c>
      <c r="G820" s="64">
        <v>170428</v>
      </c>
      <c r="H820" s="65">
        <v>45426</v>
      </c>
      <c r="I820" s="64" t="s">
        <v>33</v>
      </c>
      <c r="J820" s="64" t="s">
        <v>16</v>
      </c>
      <c r="K820" s="64" t="s">
        <v>28</v>
      </c>
      <c r="L820" s="64">
        <v>1.7</v>
      </c>
      <c r="M820" s="66">
        <v>0.22287088975989863</v>
      </c>
      <c r="N820" s="64">
        <v>13144.96</v>
      </c>
      <c r="O820" s="64" t="s">
        <v>18</v>
      </c>
    </row>
    <row r="821" spans="1:15" x14ac:dyDescent="0.3">
      <c r="A821" s="64">
        <v>820</v>
      </c>
      <c r="B821" s="64">
        <v>9018</v>
      </c>
      <c r="C821" s="64" t="s">
        <v>13</v>
      </c>
      <c r="D821" s="64" t="s">
        <v>20</v>
      </c>
      <c r="E821" s="64">
        <v>42508</v>
      </c>
      <c r="F821" s="64">
        <v>5</v>
      </c>
      <c r="G821" s="64">
        <v>212540</v>
      </c>
      <c r="H821" s="65">
        <v>45378</v>
      </c>
      <c r="I821" s="64" t="s">
        <v>33</v>
      </c>
      <c r="J821" s="64" t="s">
        <v>31</v>
      </c>
      <c r="K821" s="64" t="s">
        <v>28</v>
      </c>
      <c r="L821" s="64">
        <v>1.2</v>
      </c>
      <c r="M821" s="66">
        <v>0.12610214547849816</v>
      </c>
      <c r="N821" s="64">
        <v>36960.25</v>
      </c>
      <c r="O821" s="64" t="s">
        <v>22</v>
      </c>
    </row>
    <row r="822" spans="1:15" x14ac:dyDescent="0.3">
      <c r="A822" s="64">
        <v>821</v>
      </c>
      <c r="B822" s="64">
        <v>7205</v>
      </c>
      <c r="C822" s="64" t="s">
        <v>32</v>
      </c>
      <c r="D822" s="64" t="s">
        <v>14</v>
      </c>
      <c r="E822" s="64">
        <v>34430</v>
      </c>
      <c r="F822" s="64">
        <v>4</v>
      </c>
      <c r="G822" s="64">
        <v>137720</v>
      </c>
      <c r="H822" s="65">
        <v>45476</v>
      </c>
      <c r="I822" s="64" t="s">
        <v>30</v>
      </c>
      <c r="J822" s="64" t="s">
        <v>27</v>
      </c>
      <c r="K822" s="64" t="s">
        <v>17</v>
      </c>
      <c r="L822" s="64">
        <v>1.1000000000000001</v>
      </c>
      <c r="M822" s="66">
        <v>0.10901931455126343</v>
      </c>
      <c r="N822" s="64">
        <v>26301.86</v>
      </c>
      <c r="O822" s="64" t="s">
        <v>22</v>
      </c>
    </row>
    <row r="823" spans="1:15" x14ac:dyDescent="0.3">
      <c r="A823" s="64">
        <v>822</v>
      </c>
      <c r="B823" s="64">
        <v>3889</v>
      </c>
      <c r="C823" s="64" t="s">
        <v>29</v>
      </c>
      <c r="D823" s="64" t="s">
        <v>20</v>
      </c>
      <c r="E823" s="64">
        <v>45269</v>
      </c>
      <c r="F823" s="64">
        <v>3</v>
      </c>
      <c r="G823" s="64">
        <v>135807</v>
      </c>
      <c r="H823" s="65">
        <v>45624</v>
      </c>
      <c r="I823" s="64" t="s">
        <v>26</v>
      </c>
      <c r="J823" s="64" t="s">
        <v>27</v>
      </c>
      <c r="K823" s="64" t="s">
        <v>24</v>
      </c>
      <c r="L823" s="64">
        <v>1.9</v>
      </c>
      <c r="M823" s="66">
        <v>0.29224207883246073</v>
      </c>
      <c r="N823" s="64">
        <v>1053.58</v>
      </c>
      <c r="O823" s="64" t="s">
        <v>18</v>
      </c>
    </row>
    <row r="824" spans="1:15" x14ac:dyDescent="0.3">
      <c r="A824" s="64">
        <v>823</v>
      </c>
      <c r="B824" s="64">
        <v>3714</v>
      </c>
      <c r="C824" s="64" t="s">
        <v>32</v>
      </c>
      <c r="D824" s="64" t="s">
        <v>25</v>
      </c>
      <c r="E824" s="64">
        <v>10314</v>
      </c>
      <c r="F824" s="64">
        <v>1</v>
      </c>
      <c r="G824" s="64">
        <v>10314</v>
      </c>
      <c r="H824" s="65">
        <v>45293</v>
      </c>
      <c r="I824" s="64" t="s">
        <v>15</v>
      </c>
      <c r="J824" s="64" t="s">
        <v>31</v>
      </c>
      <c r="K824" s="64" t="s">
        <v>17</v>
      </c>
      <c r="L824" s="64">
        <v>1.3</v>
      </c>
      <c r="M824" s="66">
        <v>0.21282043823928642</v>
      </c>
      <c r="N824" s="64">
        <v>899.17</v>
      </c>
      <c r="O824" s="64" t="s">
        <v>22</v>
      </c>
    </row>
    <row r="825" spans="1:15" x14ac:dyDescent="0.3">
      <c r="A825" s="64">
        <v>824</v>
      </c>
      <c r="B825" s="64">
        <v>6300</v>
      </c>
      <c r="C825" s="64" t="s">
        <v>19</v>
      </c>
      <c r="D825" s="64" t="s">
        <v>14</v>
      </c>
      <c r="E825" s="64">
        <v>7489</v>
      </c>
      <c r="F825" s="64">
        <v>4</v>
      </c>
      <c r="G825" s="64">
        <v>29956</v>
      </c>
      <c r="H825" s="65">
        <v>45594</v>
      </c>
      <c r="I825" s="64" t="s">
        <v>26</v>
      </c>
      <c r="J825" s="64" t="s">
        <v>16</v>
      </c>
      <c r="K825" s="64" t="s">
        <v>24</v>
      </c>
      <c r="L825" s="64">
        <v>1.7</v>
      </c>
      <c r="M825" s="66">
        <v>0.12029910535451996</v>
      </c>
      <c r="N825" s="64">
        <v>5383.12</v>
      </c>
      <c r="O825" s="64" t="s">
        <v>22</v>
      </c>
    </row>
    <row r="826" spans="1:15" x14ac:dyDescent="0.3">
      <c r="A826" s="64">
        <v>825</v>
      </c>
      <c r="B826" s="64">
        <v>6982</v>
      </c>
      <c r="C826" s="64" t="s">
        <v>19</v>
      </c>
      <c r="D826" s="64" t="s">
        <v>14</v>
      </c>
      <c r="E826" s="64">
        <v>42438</v>
      </c>
      <c r="F826" s="64">
        <v>5</v>
      </c>
      <c r="G826" s="64">
        <v>212190</v>
      </c>
      <c r="H826" s="65">
        <v>45385</v>
      </c>
      <c r="I826" s="64" t="s">
        <v>33</v>
      </c>
      <c r="J826" s="64" t="s">
        <v>27</v>
      </c>
      <c r="K826" s="64" t="s">
        <v>24</v>
      </c>
      <c r="L826" s="64">
        <v>3.9</v>
      </c>
      <c r="M826" s="66">
        <v>6.041590084358358E-2</v>
      </c>
      <c r="N826" s="64">
        <v>50837.35</v>
      </c>
      <c r="O826" s="64" t="s">
        <v>22</v>
      </c>
    </row>
    <row r="827" spans="1:15" x14ac:dyDescent="0.3">
      <c r="A827" s="64">
        <v>826</v>
      </c>
      <c r="B827" s="64">
        <v>1343</v>
      </c>
      <c r="C827" s="64" t="s">
        <v>34</v>
      </c>
      <c r="D827" s="64" t="s">
        <v>25</v>
      </c>
      <c r="E827" s="64">
        <v>31198</v>
      </c>
      <c r="F827" s="64">
        <v>1</v>
      </c>
      <c r="G827" s="64">
        <v>31198</v>
      </c>
      <c r="H827" s="65">
        <v>45432</v>
      </c>
      <c r="I827" s="64" t="s">
        <v>15</v>
      </c>
      <c r="J827" s="64" t="s">
        <v>27</v>
      </c>
      <c r="K827" s="64" t="s">
        <v>28</v>
      </c>
      <c r="L827" s="64">
        <v>4.0999999999999996</v>
      </c>
      <c r="M827" s="66">
        <v>0.15567792807231234</v>
      </c>
      <c r="N827" s="64">
        <v>4502.5600000000004</v>
      </c>
      <c r="O827" s="64" t="s">
        <v>22</v>
      </c>
    </row>
    <row r="828" spans="1:15" x14ac:dyDescent="0.3">
      <c r="A828" s="64">
        <v>827</v>
      </c>
      <c r="B828" s="64">
        <v>9829</v>
      </c>
      <c r="C828" s="64" t="s">
        <v>23</v>
      </c>
      <c r="D828" s="64" t="s">
        <v>14</v>
      </c>
      <c r="E828" s="64">
        <v>31176</v>
      </c>
      <c r="F828" s="64">
        <v>1</v>
      </c>
      <c r="G828" s="64">
        <v>31176</v>
      </c>
      <c r="H828" s="65">
        <v>45427</v>
      </c>
      <c r="I828" s="64" t="s">
        <v>30</v>
      </c>
      <c r="J828" s="64" t="s">
        <v>16</v>
      </c>
      <c r="K828" s="64" t="s">
        <v>24</v>
      </c>
      <c r="L828" s="64">
        <v>2.6</v>
      </c>
      <c r="M828" s="66">
        <v>9.8979022324865287E-2</v>
      </c>
      <c r="N828" s="64">
        <v>6267.03</v>
      </c>
      <c r="O828" s="64" t="s">
        <v>18</v>
      </c>
    </row>
    <row r="829" spans="1:15" x14ac:dyDescent="0.3">
      <c r="A829" s="64">
        <v>828</v>
      </c>
      <c r="B829" s="64">
        <v>7059</v>
      </c>
      <c r="C829" s="64" t="s">
        <v>19</v>
      </c>
      <c r="D829" s="64" t="s">
        <v>20</v>
      </c>
      <c r="E829" s="64">
        <v>44890</v>
      </c>
      <c r="F829" s="64">
        <v>2</v>
      </c>
      <c r="G829" s="64">
        <v>89780</v>
      </c>
      <c r="H829" s="65">
        <v>45602</v>
      </c>
      <c r="I829" s="64" t="s">
        <v>30</v>
      </c>
      <c r="J829" s="64" t="s">
        <v>21</v>
      </c>
      <c r="K829" s="64" t="s">
        <v>28</v>
      </c>
      <c r="L829" s="64">
        <v>4.9000000000000004</v>
      </c>
      <c r="M829" s="66">
        <v>8.0453887280017816E-2</v>
      </c>
      <c r="N829" s="64">
        <v>19710.849999999999</v>
      </c>
      <c r="O829" s="64" t="s">
        <v>18</v>
      </c>
    </row>
    <row r="830" spans="1:15" x14ac:dyDescent="0.3">
      <c r="A830" s="64">
        <v>829</v>
      </c>
      <c r="B830" s="64">
        <v>7153</v>
      </c>
      <c r="C830" s="64" t="s">
        <v>19</v>
      </c>
      <c r="D830" s="64" t="s">
        <v>20</v>
      </c>
      <c r="E830" s="64">
        <v>8070</v>
      </c>
      <c r="F830" s="64">
        <v>1</v>
      </c>
      <c r="G830" s="64">
        <v>8070</v>
      </c>
      <c r="H830" s="65">
        <v>45294</v>
      </c>
      <c r="I830" s="64" t="s">
        <v>26</v>
      </c>
      <c r="J830" s="64" t="s">
        <v>27</v>
      </c>
      <c r="K830" s="64" t="s">
        <v>24</v>
      </c>
      <c r="L830" s="64">
        <v>1.1000000000000001</v>
      </c>
      <c r="M830" s="66">
        <v>0.11355266418835191</v>
      </c>
      <c r="N830" s="64">
        <v>1504.63</v>
      </c>
      <c r="O830" s="64" t="s">
        <v>22</v>
      </c>
    </row>
    <row r="831" spans="1:15" x14ac:dyDescent="0.3">
      <c r="A831" s="64">
        <v>830</v>
      </c>
      <c r="B831" s="64">
        <v>8796</v>
      </c>
      <c r="C831" s="64" t="s">
        <v>23</v>
      </c>
      <c r="D831" s="64" t="s">
        <v>20</v>
      </c>
      <c r="E831" s="64">
        <v>16629</v>
      </c>
      <c r="F831" s="64">
        <v>2</v>
      </c>
      <c r="G831" s="64">
        <v>33258</v>
      </c>
      <c r="H831" s="65">
        <v>45569</v>
      </c>
      <c r="I831" s="64" t="s">
        <v>33</v>
      </c>
      <c r="J831" s="64" t="s">
        <v>31</v>
      </c>
      <c r="K831" s="64" t="s">
        <v>17</v>
      </c>
      <c r="L831" s="64">
        <v>2</v>
      </c>
      <c r="M831" s="66">
        <v>0.21507907871790247</v>
      </c>
      <c r="N831" s="64">
        <v>2824.3</v>
      </c>
      <c r="O831" s="64" t="s">
        <v>18</v>
      </c>
    </row>
    <row r="832" spans="1:15" x14ac:dyDescent="0.3">
      <c r="A832" s="64">
        <v>831</v>
      </c>
      <c r="B832" s="64">
        <v>4832</v>
      </c>
      <c r="C832" s="64" t="s">
        <v>29</v>
      </c>
      <c r="D832" s="64" t="s">
        <v>25</v>
      </c>
      <c r="E832" s="64">
        <v>46288</v>
      </c>
      <c r="F832" s="64">
        <v>1</v>
      </c>
      <c r="G832" s="64">
        <v>46288</v>
      </c>
      <c r="H832" s="65">
        <v>45581</v>
      </c>
      <c r="I832" s="64" t="s">
        <v>30</v>
      </c>
      <c r="J832" s="64" t="s">
        <v>16</v>
      </c>
      <c r="K832" s="64" t="s">
        <v>17</v>
      </c>
      <c r="L832" s="64">
        <v>3.1</v>
      </c>
      <c r="M832" s="66">
        <v>6.7016289319045977E-2</v>
      </c>
      <c r="N832" s="64">
        <v>10784.35</v>
      </c>
      <c r="O832" s="64" t="s">
        <v>22</v>
      </c>
    </row>
    <row r="833" spans="1:15" x14ac:dyDescent="0.3">
      <c r="A833" s="64">
        <v>832</v>
      </c>
      <c r="B833" s="64">
        <v>8763</v>
      </c>
      <c r="C833" s="64" t="s">
        <v>23</v>
      </c>
      <c r="D833" s="64" t="s">
        <v>25</v>
      </c>
      <c r="E833" s="64">
        <v>1609</v>
      </c>
      <c r="F833" s="64">
        <v>5</v>
      </c>
      <c r="G833" s="64">
        <v>8045</v>
      </c>
      <c r="H833" s="65">
        <v>45310</v>
      </c>
      <c r="I833" s="64" t="s">
        <v>15</v>
      </c>
      <c r="J833" s="64" t="s">
        <v>27</v>
      </c>
      <c r="K833" s="64" t="s">
        <v>24</v>
      </c>
      <c r="L833" s="64">
        <v>3.9</v>
      </c>
      <c r="M833" s="66">
        <v>0.2805494095711622</v>
      </c>
      <c r="N833" s="64">
        <v>156.47999999999999</v>
      </c>
      <c r="O833" s="64" t="s">
        <v>18</v>
      </c>
    </row>
    <row r="834" spans="1:15" x14ac:dyDescent="0.3">
      <c r="A834" s="64">
        <v>833</v>
      </c>
      <c r="B834" s="64">
        <v>6912</v>
      </c>
      <c r="C834" s="64" t="s">
        <v>19</v>
      </c>
      <c r="D834" s="64" t="s">
        <v>25</v>
      </c>
      <c r="E834" s="64">
        <v>42795</v>
      </c>
      <c r="F834" s="64">
        <v>3</v>
      </c>
      <c r="G834" s="64">
        <v>128385</v>
      </c>
      <c r="H834" s="65">
        <v>45382</v>
      </c>
      <c r="I834" s="64" t="s">
        <v>30</v>
      </c>
      <c r="J834" s="64" t="s">
        <v>21</v>
      </c>
      <c r="K834" s="64" t="s">
        <v>28</v>
      </c>
      <c r="L834" s="64">
        <v>1.6</v>
      </c>
      <c r="M834" s="66">
        <v>0.21318432838727264</v>
      </c>
      <c r="N834" s="64">
        <v>11145.83</v>
      </c>
      <c r="O834" s="64" t="s">
        <v>18</v>
      </c>
    </row>
    <row r="835" spans="1:15" x14ac:dyDescent="0.3">
      <c r="A835" s="64">
        <v>834</v>
      </c>
      <c r="B835" s="64">
        <v>6403</v>
      </c>
      <c r="C835" s="64" t="s">
        <v>13</v>
      </c>
      <c r="D835" s="64" t="s">
        <v>14</v>
      </c>
      <c r="E835" s="64">
        <v>31792</v>
      </c>
      <c r="F835" s="64">
        <v>5</v>
      </c>
      <c r="G835" s="64">
        <v>158960</v>
      </c>
      <c r="H835" s="65">
        <v>45487</v>
      </c>
      <c r="I835" s="64" t="s">
        <v>15</v>
      </c>
      <c r="J835" s="64" t="s">
        <v>27</v>
      </c>
      <c r="K835" s="64" t="s">
        <v>24</v>
      </c>
      <c r="L835" s="64">
        <v>3.4</v>
      </c>
      <c r="M835" s="66">
        <v>0.26210449169602412</v>
      </c>
      <c r="N835" s="64">
        <v>6023.87</v>
      </c>
      <c r="O835" s="64" t="s">
        <v>22</v>
      </c>
    </row>
    <row r="836" spans="1:15" x14ac:dyDescent="0.3">
      <c r="A836" s="64">
        <v>835</v>
      </c>
      <c r="B836" s="64">
        <v>9747</v>
      </c>
      <c r="C836" s="64" t="s">
        <v>23</v>
      </c>
      <c r="D836" s="64" t="s">
        <v>14</v>
      </c>
      <c r="E836" s="64">
        <v>30658</v>
      </c>
      <c r="F836" s="64">
        <v>3</v>
      </c>
      <c r="G836" s="64">
        <v>91974</v>
      </c>
      <c r="H836" s="65">
        <v>45624</v>
      </c>
      <c r="I836" s="64" t="s">
        <v>15</v>
      </c>
      <c r="J836" s="64" t="s">
        <v>21</v>
      </c>
      <c r="K836" s="64" t="s">
        <v>17</v>
      </c>
      <c r="L836" s="64">
        <v>4.3</v>
      </c>
      <c r="M836" s="66">
        <v>9.3541870528627655E-2</v>
      </c>
      <c r="N836" s="64">
        <v>18988.78</v>
      </c>
      <c r="O836" s="64" t="s">
        <v>18</v>
      </c>
    </row>
    <row r="837" spans="1:15" x14ac:dyDescent="0.3">
      <c r="A837" s="64">
        <v>836</v>
      </c>
      <c r="B837" s="64">
        <v>8089</v>
      </c>
      <c r="C837" s="64" t="s">
        <v>29</v>
      </c>
      <c r="D837" s="64" t="s">
        <v>20</v>
      </c>
      <c r="E837" s="64">
        <v>20315</v>
      </c>
      <c r="F837" s="64">
        <v>2</v>
      </c>
      <c r="G837" s="64">
        <v>40630</v>
      </c>
      <c r="H837" s="65">
        <v>45648</v>
      </c>
      <c r="I837" s="64" t="s">
        <v>26</v>
      </c>
      <c r="J837" s="64" t="s">
        <v>21</v>
      </c>
      <c r="K837" s="64" t="s">
        <v>28</v>
      </c>
      <c r="L837" s="64">
        <v>3</v>
      </c>
      <c r="M837" s="66">
        <v>0.14241176470588235</v>
      </c>
      <c r="N837" s="64">
        <v>6402.81</v>
      </c>
      <c r="O837" s="64" t="s">
        <v>22</v>
      </c>
    </row>
    <row r="838" spans="1:15" x14ac:dyDescent="0.3">
      <c r="A838" s="64">
        <v>837</v>
      </c>
      <c r="B838" s="64">
        <v>7645</v>
      </c>
      <c r="C838" s="64" t="s">
        <v>23</v>
      </c>
      <c r="D838" s="64" t="s">
        <v>20</v>
      </c>
      <c r="E838" s="64">
        <v>36868</v>
      </c>
      <c r="F838" s="64">
        <v>3</v>
      </c>
      <c r="G838" s="64">
        <v>110604</v>
      </c>
      <c r="H838" s="65">
        <v>45520</v>
      </c>
      <c r="I838" s="64" t="s">
        <v>30</v>
      </c>
      <c r="J838" s="64" t="s">
        <v>35</v>
      </c>
      <c r="K838" s="64" t="s">
        <v>28</v>
      </c>
      <c r="L838" s="64">
        <v>2.7</v>
      </c>
      <c r="M838" s="66">
        <v>5.3562348558822463E-2</v>
      </c>
      <c r="N838" s="64">
        <v>27256.99</v>
      </c>
      <c r="O838" s="64" t="s">
        <v>18</v>
      </c>
    </row>
    <row r="839" spans="1:15" x14ac:dyDescent="0.3">
      <c r="A839" s="64">
        <v>838</v>
      </c>
      <c r="B839" s="64">
        <v>6403</v>
      </c>
      <c r="C839" s="64" t="s">
        <v>32</v>
      </c>
      <c r="D839" s="64" t="s">
        <v>20</v>
      </c>
      <c r="E839" s="64">
        <v>37229</v>
      </c>
      <c r="F839" s="64">
        <v>5</v>
      </c>
      <c r="G839" s="64">
        <v>186145</v>
      </c>
      <c r="H839" s="65">
        <v>45615</v>
      </c>
      <c r="I839" s="64" t="s">
        <v>33</v>
      </c>
      <c r="J839" s="64" t="s">
        <v>16</v>
      </c>
      <c r="K839" s="64" t="s">
        <v>17</v>
      </c>
      <c r="L839" s="64">
        <v>2.1</v>
      </c>
      <c r="M839" s="66">
        <v>0.12801649251927261</v>
      </c>
      <c r="N839" s="64">
        <v>32013.87</v>
      </c>
      <c r="O839" s="64" t="s">
        <v>18</v>
      </c>
    </row>
    <row r="840" spans="1:15" x14ac:dyDescent="0.3">
      <c r="A840" s="64">
        <v>839</v>
      </c>
      <c r="B840" s="64">
        <v>5890</v>
      </c>
      <c r="C840" s="64" t="s">
        <v>29</v>
      </c>
      <c r="D840" s="64" t="s">
        <v>20</v>
      </c>
      <c r="E840" s="64">
        <v>36987</v>
      </c>
      <c r="F840" s="64">
        <v>1</v>
      </c>
      <c r="G840" s="64">
        <v>36987</v>
      </c>
      <c r="H840" s="65">
        <v>45374</v>
      </c>
      <c r="I840" s="64" t="s">
        <v>30</v>
      </c>
      <c r="J840" s="64" t="s">
        <v>31</v>
      </c>
      <c r="K840" s="64" t="s">
        <v>28</v>
      </c>
      <c r="L840" s="64">
        <v>2.7</v>
      </c>
      <c r="M840" s="66">
        <v>0.28493578824992566</v>
      </c>
      <c r="N840" s="64">
        <v>557.17999999999995</v>
      </c>
      <c r="O840" s="64" t="s">
        <v>22</v>
      </c>
    </row>
    <row r="841" spans="1:15" x14ac:dyDescent="0.3">
      <c r="A841" s="64">
        <v>840</v>
      </c>
      <c r="B841" s="64">
        <v>3629</v>
      </c>
      <c r="C841" s="64" t="s">
        <v>32</v>
      </c>
      <c r="D841" s="64" t="s">
        <v>25</v>
      </c>
      <c r="E841" s="64">
        <v>26488</v>
      </c>
      <c r="F841" s="64">
        <v>4</v>
      </c>
      <c r="G841" s="64">
        <v>105952</v>
      </c>
      <c r="H841" s="65">
        <v>45336</v>
      </c>
      <c r="I841" s="64" t="s">
        <v>30</v>
      </c>
      <c r="J841" s="64" t="s">
        <v>16</v>
      </c>
      <c r="K841" s="64" t="s">
        <v>28</v>
      </c>
      <c r="L841" s="64">
        <v>1.2</v>
      </c>
      <c r="M841" s="66">
        <v>0.26135938915735429</v>
      </c>
      <c r="N841" s="64">
        <v>4094.05</v>
      </c>
      <c r="O841" s="64" t="s">
        <v>18</v>
      </c>
    </row>
    <row r="842" spans="1:15" x14ac:dyDescent="0.3">
      <c r="A842" s="64">
        <v>841</v>
      </c>
      <c r="B842" s="64">
        <v>7993</v>
      </c>
      <c r="C842" s="64" t="s">
        <v>23</v>
      </c>
      <c r="D842" s="64" t="s">
        <v>25</v>
      </c>
      <c r="E842" s="64">
        <v>34962</v>
      </c>
      <c r="F842" s="64">
        <v>1</v>
      </c>
      <c r="G842" s="64">
        <v>34962</v>
      </c>
      <c r="H842" s="65">
        <v>45592</v>
      </c>
      <c r="I842" s="64" t="s">
        <v>30</v>
      </c>
      <c r="J842" s="64" t="s">
        <v>21</v>
      </c>
      <c r="K842" s="64" t="s">
        <v>24</v>
      </c>
      <c r="L842" s="64">
        <v>1.8</v>
      </c>
      <c r="M842" s="66">
        <v>0.21034866426405813</v>
      </c>
      <c r="N842" s="64">
        <v>3134.39</v>
      </c>
      <c r="O842" s="64" t="s">
        <v>18</v>
      </c>
    </row>
    <row r="843" spans="1:15" x14ac:dyDescent="0.3">
      <c r="A843" s="64">
        <v>842</v>
      </c>
      <c r="B843" s="64">
        <v>6368</v>
      </c>
      <c r="C843" s="64" t="s">
        <v>19</v>
      </c>
      <c r="D843" s="64" t="s">
        <v>20</v>
      </c>
      <c r="E843" s="64">
        <v>35290</v>
      </c>
      <c r="F843" s="64">
        <v>3</v>
      </c>
      <c r="G843" s="64">
        <v>105870</v>
      </c>
      <c r="H843" s="65">
        <v>45552</v>
      </c>
      <c r="I843" s="64" t="s">
        <v>33</v>
      </c>
      <c r="J843" s="64" t="s">
        <v>35</v>
      </c>
      <c r="K843" s="64" t="s">
        <v>17</v>
      </c>
      <c r="L843" s="64">
        <v>3.9</v>
      </c>
      <c r="M843" s="66">
        <v>0.27138594502691982</v>
      </c>
      <c r="N843" s="64">
        <v>3029.37</v>
      </c>
      <c r="O843" s="64" t="s">
        <v>22</v>
      </c>
    </row>
    <row r="844" spans="1:15" x14ac:dyDescent="0.3">
      <c r="A844" s="64">
        <v>843</v>
      </c>
      <c r="B844" s="64">
        <v>7716</v>
      </c>
      <c r="C844" s="64" t="s">
        <v>34</v>
      </c>
      <c r="D844" s="64" t="s">
        <v>14</v>
      </c>
      <c r="E844" s="64">
        <v>22118</v>
      </c>
      <c r="F844" s="64">
        <v>4</v>
      </c>
      <c r="G844" s="64">
        <v>88472</v>
      </c>
      <c r="H844" s="65">
        <v>45454</v>
      </c>
      <c r="I844" s="64" t="s">
        <v>33</v>
      </c>
      <c r="J844" s="64" t="s">
        <v>21</v>
      </c>
      <c r="K844" s="64" t="s">
        <v>17</v>
      </c>
      <c r="L844" s="64">
        <v>3.7</v>
      </c>
      <c r="M844" s="66">
        <v>0.14792250655574646</v>
      </c>
      <c r="N844" s="64">
        <v>13454.6</v>
      </c>
      <c r="O844" s="64" t="s">
        <v>22</v>
      </c>
    </row>
    <row r="845" spans="1:15" x14ac:dyDescent="0.3">
      <c r="A845" s="64">
        <v>844</v>
      </c>
      <c r="B845" s="64">
        <v>6563</v>
      </c>
      <c r="C845" s="64" t="s">
        <v>32</v>
      </c>
      <c r="D845" s="64" t="s">
        <v>14</v>
      </c>
      <c r="E845" s="64">
        <v>7814</v>
      </c>
      <c r="F845" s="64">
        <v>2</v>
      </c>
      <c r="G845" s="64">
        <v>15628</v>
      </c>
      <c r="H845" s="65">
        <v>45584</v>
      </c>
      <c r="I845" s="64" t="s">
        <v>30</v>
      </c>
      <c r="J845" s="64" t="s">
        <v>27</v>
      </c>
      <c r="K845" s="64" t="s">
        <v>17</v>
      </c>
      <c r="L845" s="64">
        <v>2.1</v>
      </c>
      <c r="M845" s="66">
        <v>0.1930925262349629</v>
      </c>
      <c r="N845" s="64">
        <v>1670.75</v>
      </c>
      <c r="O845" s="64" t="s">
        <v>18</v>
      </c>
    </row>
    <row r="846" spans="1:15" x14ac:dyDescent="0.3">
      <c r="A846" s="64">
        <v>845</v>
      </c>
      <c r="B846" s="64">
        <v>6846</v>
      </c>
      <c r="C846" s="64" t="s">
        <v>13</v>
      </c>
      <c r="D846" s="64" t="s">
        <v>14</v>
      </c>
      <c r="E846" s="64">
        <v>37645</v>
      </c>
      <c r="F846" s="64">
        <v>2</v>
      </c>
      <c r="G846" s="64">
        <v>75290</v>
      </c>
      <c r="H846" s="65">
        <v>45483</v>
      </c>
      <c r="I846" s="64" t="s">
        <v>30</v>
      </c>
      <c r="J846" s="64" t="s">
        <v>16</v>
      </c>
      <c r="K846" s="64" t="s">
        <v>28</v>
      </c>
      <c r="L846" s="64">
        <v>4.5</v>
      </c>
      <c r="M846" s="66">
        <v>0.11309350511356089</v>
      </c>
      <c r="N846" s="64">
        <v>14072.19</v>
      </c>
      <c r="O846" s="64" t="s">
        <v>22</v>
      </c>
    </row>
    <row r="847" spans="1:15" x14ac:dyDescent="0.3">
      <c r="A847" s="64">
        <v>846</v>
      </c>
      <c r="B847" s="64">
        <v>3283</v>
      </c>
      <c r="C847" s="64" t="s">
        <v>19</v>
      </c>
      <c r="D847" s="64" t="s">
        <v>14</v>
      </c>
      <c r="E847" s="64">
        <v>42197</v>
      </c>
      <c r="F847" s="64">
        <v>2</v>
      </c>
      <c r="G847" s="64">
        <v>84394</v>
      </c>
      <c r="H847" s="65">
        <v>45594</v>
      </c>
      <c r="I847" s="64" t="s">
        <v>33</v>
      </c>
      <c r="J847" s="64" t="s">
        <v>16</v>
      </c>
      <c r="K847" s="64" t="s">
        <v>28</v>
      </c>
      <c r="L847" s="64">
        <v>2.8</v>
      </c>
      <c r="M847" s="66">
        <v>0.24843022015783114</v>
      </c>
      <c r="N847" s="64">
        <v>4352.18</v>
      </c>
      <c r="O847" s="64" t="s">
        <v>18</v>
      </c>
    </row>
    <row r="848" spans="1:15" x14ac:dyDescent="0.3">
      <c r="A848" s="64">
        <v>847</v>
      </c>
      <c r="B848" s="64">
        <v>9497</v>
      </c>
      <c r="C848" s="64" t="s">
        <v>29</v>
      </c>
      <c r="D848" s="64" t="s">
        <v>14</v>
      </c>
      <c r="E848" s="64">
        <v>48486</v>
      </c>
      <c r="F848" s="64">
        <v>5</v>
      </c>
      <c r="G848" s="64">
        <v>242430</v>
      </c>
      <c r="H848" s="65">
        <v>45354</v>
      </c>
      <c r="I848" s="64" t="s">
        <v>30</v>
      </c>
      <c r="J848" s="64" t="s">
        <v>35</v>
      </c>
      <c r="K848" s="64" t="s">
        <v>28</v>
      </c>
      <c r="L848" s="64">
        <v>4.4000000000000004</v>
      </c>
      <c r="M848" s="66">
        <v>0.11634162438642083</v>
      </c>
      <c r="N848" s="64">
        <v>44524.3</v>
      </c>
      <c r="O848" s="64" t="s">
        <v>18</v>
      </c>
    </row>
    <row r="849" spans="1:15" x14ac:dyDescent="0.3">
      <c r="A849" s="64">
        <v>848</v>
      </c>
      <c r="B849" s="64">
        <v>6746</v>
      </c>
      <c r="C849" s="64" t="s">
        <v>29</v>
      </c>
      <c r="D849" s="64" t="s">
        <v>14</v>
      </c>
      <c r="E849" s="64">
        <v>36472</v>
      </c>
      <c r="F849" s="64">
        <v>4</v>
      </c>
      <c r="G849" s="64">
        <v>145888</v>
      </c>
      <c r="H849" s="65">
        <v>45483</v>
      </c>
      <c r="I849" s="64" t="s">
        <v>30</v>
      </c>
      <c r="J849" s="64" t="s">
        <v>21</v>
      </c>
      <c r="K849" s="64" t="s">
        <v>24</v>
      </c>
      <c r="L849" s="64">
        <v>2.7</v>
      </c>
      <c r="M849" s="66">
        <v>0.11056817558675149</v>
      </c>
      <c r="N849" s="64">
        <v>27635.83</v>
      </c>
      <c r="O849" s="64" t="s">
        <v>22</v>
      </c>
    </row>
    <row r="850" spans="1:15" x14ac:dyDescent="0.3">
      <c r="A850" s="64">
        <v>849</v>
      </c>
      <c r="B850" s="64">
        <v>5670</v>
      </c>
      <c r="C850" s="64" t="s">
        <v>29</v>
      </c>
      <c r="D850" s="64" t="s">
        <v>20</v>
      </c>
      <c r="E850" s="64">
        <v>13352</v>
      </c>
      <c r="F850" s="64">
        <v>3</v>
      </c>
      <c r="G850" s="64">
        <v>40056</v>
      </c>
      <c r="H850" s="65">
        <v>45461</v>
      </c>
      <c r="I850" s="64" t="s">
        <v>26</v>
      </c>
      <c r="J850" s="64" t="s">
        <v>31</v>
      </c>
      <c r="K850" s="64" t="s">
        <v>24</v>
      </c>
      <c r="L850" s="64">
        <v>2.2999999999999998</v>
      </c>
      <c r="M850" s="66">
        <v>0.14410000998601957</v>
      </c>
      <c r="N850" s="64">
        <v>6244.73</v>
      </c>
      <c r="O850" s="64" t="s">
        <v>18</v>
      </c>
    </row>
    <row r="851" spans="1:15" x14ac:dyDescent="0.3">
      <c r="A851" s="64">
        <v>850</v>
      </c>
      <c r="B851" s="64">
        <v>1413</v>
      </c>
      <c r="C851" s="64" t="s">
        <v>32</v>
      </c>
      <c r="D851" s="64" t="s">
        <v>14</v>
      </c>
      <c r="E851" s="64">
        <v>8696</v>
      </c>
      <c r="F851" s="64">
        <v>1</v>
      </c>
      <c r="G851" s="64">
        <v>8696</v>
      </c>
      <c r="H851" s="65">
        <v>45415</v>
      </c>
      <c r="I851" s="64" t="s">
        <v>33</v>
      </c>
      <c r="J851" s="64" t="s">
        <v>27</v>
      </c>
      <c r="K851" s="64" t="s">
        <v>17</v>
      </c>
      <c r="L851" s="64">
        <v>1.2</v>
      </c>
      <c r="M851" s="66">
        <v>0.27891559337626493</v>
      </c>
      <c r="N851" s="64">
        <v>183.35</v>
      </c>
      <c r="O851" s="64" t="s">
        <v>18</v>
      </c>
    </row>
    <row r="852" spans="1:15" x14ac:dyDescent="0.3">
      <c r="A852" s="64">
        <v>851</v>
      </c>
      <c r="B852" s="64">
        <v>9805</v>
      </c>
      <c r="C852" s="64" t="s">
        <v>32</v>
      </c>
      <c r="D852" s="64" t="s">
        <v>25</v>
      </c>
      <c r="E852" s="64">
        <v>34821</v>
      </c>
      <c r="F852" s="64">
        <v>3</v>
      </c>
      <c r="G852" s="64">
        <v>104463</v>
      </c>
      <c r="H852" s="65">
        <v>45299</v>
      </c>
      <c r="I852" s="64" t="s">
        <v>30</v>
      </c>
      <c r="J852" s="64" t="s">
        <v>21</v>
      </c>
      <c r="K852" s="64" t="s">
        <v>24</v>
      </c>
      <c r="L852" s="64">
        <v>2.6</v>
      </c>
      <c r="M852" s="66">
        <v>0.15254807922422292</v>
      </c>
      <c r="N852" s="64">
        <v>15403.27</v>
      </c>
      <c r="O852" s="64" t="s">
        <v>18</v>
      </c>
    </row>
    <row r="853" spans="1:15" x14ac:dyDescent="0.3">
      <c r="A853" s="64">
        <v>852</v>
      </c>
      <c r="B853" s="64">
        <v>9456</v>
      </c>
      <c r="C853" s="64" t="s">
        <v>13</v>
      </c>
      <c r="D853" s="64" t="s">
        <v>20</v>
      </c>
      <c r="E853" s="64">
        <v>41727</v>
      </c>
      <c r="F853" s="64">
        <v>5</v>
      </c>
      <c r="G853" s="64">
        <v>208635</v>
      </c>
      <c r="H853" s="65">
        <v>45624</v>
      </c>
      <c r="I853" s="64" t="s">
        <v>30</v>
      </c>
      <c r="J853" s="64" t="s">
        <v>31</v>
      </c>
      <c r="K853" s="64" t="s">
        <v>17</v>
      </c>
      <c r="L853" s="64">
        <v>2.9</v>
      </c>
      <c r="M853" s="66">
        <v>0.25126982529297576</v>
      </c>
      <c r="N853" s="64">
        <v>10166.82</v>
      </c>
      <c r="O853" s="64" t="s">
        <v>22</v>
      </c>
    </row>
    <row r="854" spans="1:15" x14ac:dyDescent="0.3">
      <c r="A854" s="64">
        <v>853</v>
      </c>
      <c r="B854" s="64">
        <v>6404</v>
      </c>
      <c r="C854" s="64" t="s">
        <v>34</v>
      </c>
      <c r="D854" s="64" t="s">
        <v>25</v>
      </c>
      <c r="E854" s="64">
        <v>43567</v>
      </c>
      <c r="F854" s="64">
        <v>2</v>
      </c>
      <c r="G854" s="64">
        <v>87134</v>
      </c>
      <c r="H854" s="65">
        <v>45441</v>
      </c>
      <c r="I854" s="64" t="s">
        <v>26</v>
      </c>
      <c r="J854" s="64" t="s">
        <v>31</v>
      </c>
      <c r="K854" s="64" t="s">
        <v>24</v>
      </c>
      <c r="L854" s="64">
        <v>1.2</v>
      </c>
      <c r="M854" s="66">
        <v>0.18926136754883283</v>
      </c>
      <c r="N854" s="64">
        <v>9649.1</v>
      </c>
      <c r="O854" s="64" t="s">
        <v>22</v>
      </c>
    </row>
    <row r="855" spans="1:15" x14ac:dyDescent="0.3">
      <c r="A855" s="64">
        <v>854</v>
      </c>
      <c r="B855" s="64">
        <v>3553</v>
      </c>
      <c r="C855" s="64" t="s">
        <v>23</v>
      </c>
      <c r="D855" s="64" t="s">
        <v>20</v>
      </c>
      <c r="E855" s="64">
        <v>21463</v>
      </c>
      <c r="F855" s="64">
        <v>2</v>
      </c>
      <c r="G855" s="64">
        <v>42926</v>
      </c>
      <c r="H855" s="65">
        <v>45294</v>
      </c>
      <c r="I855" s="64" t="s">
        <v>15</v>
      </c>
      <c r="J855" s="64" t="s">
        <v>35</v>
      </c>
      <c r="K855" s="64" t="s">
        <v>24</v>
      </c>
      <c r="L855" s="64">
        <v>4.8</v>
      </c>
      <c r="M855" s="66">
        <v>0.27610166332758701</v>
      </c>
      <c r="N855" s="64">
        <v>1025.8599999999999</v>
      </c>
      <c r="O855" s="64" t="s">
        <v>22</v>
      </c>
    </row>
    <row r="856" spans="1:15" x14ac:dyDescent="0.3">
      <c r="A856" s="64">
        <v>855</v>
      </c>
      <c r="B856" s="64">
        <v>1556</v>
      </c>
      <c r="C856" s="64" t="s">
        <v>19</v>
      </c>
      <c r="D856" s="64" t="s">
        <v>14</v>
      </c>
      <c r="E856" s="64">
        <v>26905</v>
      </c>
      <c r="F856" s="64">
        <v>1</v>
      </c>
      <c r="G856" s="64">
        <v>26905</v>
      </c>
      <c r="H856" s="65">
        <v>45653</v>
      </c>
      <c r="I856" s="64" t="s">
        <v>15</v>
      </c>
      <c r="J856" s="64" t="s">
        <v>31</v>
      </c>
      <c r="K856" s="64" t="s">
        <v>24</v>
      </c>
      <c r="L856" s="64">
        <v>1</v>
      </c>
      <c r="M856" s="66">
        <v>0.1384883850585393</v>
      </c>
      <c r="N856" s="64">
        <v>4345.47</v>
      </c>
      <c r="O856" s="64" t="s">
        <v>22</v>
      </c>
    </row>
    <row r="857" spans="1:15" x14ac:dyDescent="0.3">
      <c r="A857" s="64">
        <v>856</v>
      </c>
      <c r="B857" s="64">
        <v>3854</v>
      </c>
      <c r="C857" s="64" t="s">
        <v>23</v>
      </c>
      <c r="D857" s="64" t="s">
        <v>14</v>
      </c>
      <c r="E857" s="64">
        <v>12556</v>
      </c>
      <c r="F857" s="64">
        <v>5</v>
      </c>
      <c r="G857" s="64">
        <v>62780</v>
      </c>
      <c r="H857" s="65">
        <v>45602</v>
      </c>
      <c r="I857" s="64" t="s">
        <v>15</v>
      </c>
      <c r="J857" s="64" t="s">
        <v>31</v>
      </c>
      <c r="K857" s="64" t="s">
        <v>24</v>
      </c>
      <c r="L857" s="64">
        <v>1.3</v>
      </c>
      <c r="M857" s="66">
        <v>0.2279358075820325</v>
      </c>
      <c r="N857" s="64">
        <v>4524.1899999999996</v>
      </c>
      <c r="O857" s="64" t="s">
        <v>18</v>
      </c>
    </row>
    <row r="858" spans="1:15" x14ac:dyDescent="0.3">
      <c r="A858" s="64">
        <v>857</v>
      </c>
      <c r="B858" s="64">
        <v>3300</v>
      </c>
      <c r="C858" s="64" t="s">
        <v>13</v>
      </c>
      <c r="D858" s="64" t="s">
        <v>25</v>
      </c>
      <c r="E858" s="64">
        <v>29594</v>
      </c>
      <c r="F858" s="64">
        <v>5</v>
      </c>
      <c r="G858" s="64">
        <v>147970</v>
      </c>
      <c r="H858" s="65">
        <v>45518</v>
      </c>
      <c r="I858" s="64" t="s">
        <v>15</v>
      </c>
      <c r="J858" s="64" t="s">
        <v>16</v>
      </c>
      <c r="K858" s="64" t="s">
        <v>24</v>
      </c>
      <c r="L858" s="64">
        <v>3.7</v>
      </c>
      <c r="M858" s="66">
        <v>5.1027100087855645E-2</v>
      </c>
      <c r="N858" s="64">
        <v>36840.519999999997</v>
      </c>
      <c r="O858" s="64" t="s">
        <v>22</v>
      </c>
    </row>
    <row r="859" spans="1:15" x14ac:dyDescent="0.3">
      <c r="A859" s="64">
        <v>858</v>
      </c>
      <c r="B859" s="64">
        <v>9909</v>
      </c>
      <c r="C859" s="64" t="s">
        <v>34</v>
      </c>
      <c r="D859" s="64" t="s">
        <v>20</v>
      </c>
      <c r="E859" s="64">
        <v>24569</v>
      </c>
      <c r="F859" s="64">
        <v>5</v>
      </c>
      <c r="G859" s="64">
        <v>122845</v>
      </c>
      <c r="H859" s="65">
        <v>45515</v>
      </c>
      <c r="I859" s="64" t="s">
        <v>30</v>
      </c>
      <c r="J859" s="64" t="s">
        <v>35</v>
      </c>
      <c r="K859" s="64" t="s">
        <v>17</v>
      </c>
      <c r="L859" s="64">
        <v>2.4</v>
      </c>
      <c r="M859" s="66">
        <v>5.1301314664821518E-2</v>
      </c>
      <c r="N859" s="64">
        <v>30551.39</v>
      </c>
      <c r="O859" s="64" t="s">
        <v>22</v>
      </c>
    </row>
    <row r="860" spans="1:15" x14ac:dyDescent="0.3">
      <c r="A860" s="64">
        <v>859</v>
      </c>
      <c r="B860" s="64">
        <v>7081</v>
      </c>
      <c r="C860" s="64" t="s">
        <v>34</v>
      </c>
      <c r="D860" s="64" t="s">
        <v>25</v>
      </c>
      <c r="E860" s="64">
        <v>38707</v>
      </c>
      <c r="F860" s="64">
        <v>1</v>
      </c>
      <c r="G860" s="64">
        <v>38707</v>
      </c>
      <c r="H860" s="65">
        <v>45561</v>
      </c>
      <c r="I860" s="64" t="s">
        <v>33</v>
      </c>
      <c r="J860" s="64" t="s">
        <v>16</v>
      </c>
      <c r="K860" s="64" t="s">
        <v>28</v>
      </c>
      <c r="L860" s="64">
        <v>2.6</v>
      </c>
      <c r="M860" s="66">
        <v>0.19196476089596198</v>
      </c>
      <c r="N860" s="64">
        <v>4181.72</v>
      </c>
      <c r="O860" s="64" t="s">
        <v>18</v>
      </c>
    </row>
    <row r="861" spans="1:15" x14ac:dyDescent="0.3">
      <c r="A861" s="64">
        <v>860</v>
      </c>
      <c r="B861" s="64">
        <v>8455</v>
      </c>
      <c r="C861" s="64" t="s">
        <v>32</v>
      </c>
      <c r="D861" s="64" t="s">
        <v>25</v>
      </c>
      <c r="E861" s="64">
        <v>40933</v>
      </c>
      <c r="F861" s="64">
        <v>5</v>
      </c>
      <c r="G861" s="64">
        <v>204665</v>
      </c>
      <c r="H861" s="65">
        <v>45320</v>
      </c>
      <c r="I861" s="64" t="s">
        <v>30</v>
      </c>
      <c r="J861" s="64" t="s">
        <v>31</v>
      </c>
      <c r="K861" s="64" t="s">
        <v>24</v>
      </c>
      <c r="L861" s="64">
        <v>4.3</v>
      </c>
      <c r="M861" s="66">
        <v>0.27509452031368337</v>
      </c>
      <c r="N861" s="64">
        <v>5097.28</v>
      </c>
      <c r="O861" s="64" t="s">
        <v>22</v>
      </c>
    </row>
    <row r="862" spans="1:15" x14ac:dyDescent="0.3">
      <c r="A862" s="64">
        <v>861</v>
      </c>
      <c r="B862" s="64">
        <v>6879</v>
      </c>
      <c r="C862" s="64" t="s">
        <v>23</v>
      </c>
      <c r="D862" s="64" t="s">
        <v>20</v>
      </c>
      <c r="E862" s="64">
        <v>45491</v>
      </c>
      <c r="F862" s="64">
        <v>1</v>
      </c>
      <c r="G862" s="64">
        <v>45491</v>
      </c>
      <c r="H862" s="65">
        <v>45310</v>
      </c>
      <c r="I862" s="64" t="s">
        <v>15</v>
      </c>
      <c r="J862" s="64" t="s">
        <v>16</v>
      </c>
      <c r="K862" s="64" t="s">
        <v>28</v>
      </c>
      <c r="L862" s="64">
        <v>3.8</v>
      </c>
      <c r="M862" s="66">
        <v>0.11045305664856785</v>
      </c>
      <c r="N862" s="64">
        <v>8622.68</v>
      </c>
      <c r="O862" s="64" t="s">
        <v>22</v>
      </c>
    </row>
    <row r="863" spans="1:15" x14ac:dyDescent="0.3">
      <c r="A863" s="64">
        <v>862</v>
      </c>
      <c r="B863" s="64">
        <v>8027</v>
      </c>
      <c r="C863" s="64" t="s">
        <v>23</v>
      </c>
      <c r="D863" s="64" t="s">
        <v>14</v>
      </c>
      <c r="E863" s="64">
        <v>45114</v>
      </c>
      <c r="F863" s="64">
        <v>3</v>
      </c>
      <c r="G863" s="64">
        <v>135342</v>
      </c>
      <c r="H863" s="65">
        <v>45590</v>
      </c>
      <c r="I863" s="64" t="s">
        <v>30</v>
      </c>
      <c r="J863" s="64" t="s">
        <v>35</v>
      </c>
      <c r="K863" s="64" t="s">
        <v>24</v>
      </c>
      <c r="L863" s="64">
        <v>2.5</v>
      </c>
      <c r="M863" s="66">
        <v>7.5198681857812061E-2</v>
      </c>
      <c r="N863" s="64">
        <v>30425.06</v>
      </c>
      <c r="O863" s="64" t="s">
        <v>22</v>
      </c>
    </row>
    <row r="864" spans="1:15" x14ac:dyDescent="0.3">
      <c r="A864" s="64">
        <v>863</v>
      </c>
      <c r="B864" s="64">
        <v>2548</v>
      </c>
      <c r="C864" s="64" t="s">
        <v>19</v>
      </c>
      <c r="D864" s="64" t="s">
        <v>20</v>
      </c>
      <c r="E864" s="64">
        <v>1896</v>
      </c>
      <c r="F864" s="64">
        <v>1</v>
      </c>
      <c r="G864" s="64">
        <v>1896</v>
      </c>
      <c r="H864" s="65">
        <v>45646</v>
      </c>
      <c r="I864" s="64" t="s">
        <v>26</v>
      </c>
      <c r="J864" s="64" t="s">
        <v>27</v>
      </c>
      <c r="K864" s="64" t="s">
        <v>28</v>
      </c>
      <c r="L864" s="64">
        <v>1.5</v>
      </c>
      <c r="M864" s="66">
        <v>0.19523734177215191</v>
      </c>
      <c r="N864" s="64">
        <v>198.63</v>
      </c>
      <c r="O864" s="64" t="s">
        <v>18</v>
      </c>
    </row>
    <row r="865" spans="1:15" x14ac:dyDescent="0.3">
      <c r="A865" s="64">
        <v>864</v>
      </c>
      <c r="B865" s="64">
        <v>9599</v>
      </c>
      <c r="C865" s="64" t="s">
        <v>34</v>
      </c>
      <c r="D865" s="64" t="s">
        <v>25</v>
      </c>
      <c r="E865" s="64">
        <v>32492</v>
      </c>
      <c r="F865" s="64">
        <v>3</v>
      </c>
      <c r="G865" s="64">
        <v>97476</v>
      </c>
      <c r="H865" s="65">
        <v>45427</v>
      </c>
      <c r="I865" s="64" t="s">
        <v>30</v>
      </c>
      <c r="J865" s="64" t="s">
        <v>31</v>
      </c>
      <c r="K865" s="64" t="s">
        <v>24</v>
      </c>
      <c r="L865" s="64">
        <v>1.6</v>
      </c>
      <c r="M865" s="66">
        <v>7.1202449833805248E-2</v>
      </c>
      <c r="N865" s="64">
        <v>22302.27</v>
      </c>
      <c r="O865" s="64" t="s">
        <v>22</v>
      </c>
    </row>
    <row r="866" spans="1:15" x14ac:dyDescent="0.3">
      <c r="A866" s="64">
        <v>865</v>
      </c>
      <c r="B866" s="64">
        <v>2107</v>
      </c>
      <c r="C866" s="64" t="s">
        <v>23</v>
      </c>
      <c r="D866" s="64" t="s">
        <v>25</v>
      </c>
      <c r="E866" s="64">
        <v>34100</v>
      </c>
      <c r="F866" s="64">
        <v>1</v>
      </c>
      <c r="G866" s="64">
        <v>34100</v>
      </c>
      <c r="H866" s="65">
        <v>45603</v>
      </c>
      <c r="I866" s="64" t="s">
        <v>26</v>
      </c>
      <c r="J866" s="64" t="s">
        <v>16</v>
      </c>
      <c r="K866" s="64" t="s">
        <v>28</v>
      </c>
      <c r="L866" s="64">
        <v>3.3</v>
      </c>
      <c r="M866" s="66">
        <v>6.2865982404692086E-2</v>
      </c>
      <c r="N866" s="64">
        <v>8086.27</v>
      </c>
      <c r="O866" s="64" t="s">
        <v>22</v>
      </c>
    </row>
    <row r="867" spans="1:15" x14ac:dyDescent="0.3">
      <c r="A867" s="64">
        <v>866</v>
      </c>
      <c r="B867" s="64">
        <v>9581</v>
      </c>
      <c r="C867" s="64" t="s">
        <v>32</v>
      </c>
      <c r="D867" s="64" t="s">
        <v>20</v>
      </c>
      <c r="E867" s="64">
        <v>29500</v>
      </c>
      <c r="F867" s="64">
        <v>5</v>
      </c>
      <c r="G867" s="64">
        <v>147500</v>
      </c>
      <c r="H867" s="65">
        <v>45382</v>
      </c>
      <c r="I867" s="64" t="s">
        <v>33</v>
      </c>
      <c r="J867" s="64" t="s">
        <v>35</v>
      </c>
      <c r="K867" s="64" t="s">
        <v>24</v>
      </c>
      <c r="L867" s="64">
        <v>1.2</v>
      </c>
      <c r="M867" s="66">
        <v>0.13022135593220341</v>
      </c>
      <c r="N867" s="64">
        <v>25042.35</v>
      </c>
      <c r="O867" s="64" t="s">
        <v>18</v>
      </c>
    </row>
    <row r="868" spans="1:15" x14ac:dyDescent="0.3">
      <c r="A868" s="64">
        <v>867</v>
      </c>
      <c r="B868" s="64">
        <v>2412</v>
      </c>
      <c r="C868" s="64" t="s">
        <v>29</v>
      </c>
      <c r="D868" s="64" t="s">
        <v>25</v>
      </c>
      <c r="E868" s="64">
        <v>1809</v>
      </c>
      <c r="F868" s="64">
        <v>4</v>
      </c>
      <c r="G868" s="64">
        <v>7236</v>
      </c>
      <c r="H868" s="65">
        <v>45594</v>
      </c>
      <c r="I868" s="64" t="s">
        <v>26</v>
      </c>
      <c r="J868" s="64" t="s">
        <v>31</v>
      </c>
      <c r="K868" s="64" t="s">
        <v>17</v>
      </c>
      <c r="L868" s="64">
        <v>2.4</v>
      </c>
      <c r="M868" s="66">
        <v>0.19588999447208402</v>
      </c>
      <c r="N868" s="64">
        <v>753.34</v>
      </c>
      <c r="O868" s="64" t="s">
        <v>22</v>
      </c>
    </row>
    <row r="869" spans="1:15" x14ac:dyDescent="0.3">
      <c r="A869" s="64">
        <v>868</v>
      </c>
      <c r="B869" s="64">
        <v>3407</v>
      </c>
      <c r="C869" s="64" t="s">
        <v>34</v>
      </c>
      <c r="D869" s="64" t="s">
        <v>20</v>
      </c>
      <c r="E869" s="64">
        <v>34568</v>
      </c>
      <c r="F869" s="64">
        <v>5</v>
      </c>
      <c r="G869" s="64">
        <v>172840</v>
      </c>
      <c r="H869" s="65">
        <v>45647</v>
      </c>
      <c r="I869" s="64" t="s">
        <v>33</v>
      </c>
      <c r="J869" s="64" t="s">
        <v>21</v>
      </c>
      <c r="K869" s="64" t="s">
        <v>17</v>
      </c>
      <c r="L869" s="64">
        <v>4.4000000000000004</v>
      </c>
      <c r="M869" s="66">
        <v>0.10622193936588753</v>
      </c>
      <c r="N869" s="64">
        <v>33492.6</v>
      </c>
      <c r="O869" s="64" t="s">
        <v>18</v>
      </c>
    </row>
    <row r="870" spans="1:15" x14ac:dyDescent="0.3">
      <c r="A870" s="64">
        <v>869</v>
      </c>
      <c r="B870" s="64">
        <v>3480</v>
      </c>
      <c r="C870" s="64" t="s">
        <v>19</v>
      </c>
      <c r="D870" s="64" t="s">
        <v>14</v>
      </c>
      <c r="E870" s="64">
        <v>34605</v>
      </c>
      <c r="F870" s="64">
        <v>4</v>
      </c>
      <c r="G870" s="64">
        <v>138420</v>
      </c>
      <c r="H870" s="65">
        <v>45413</v>
      </c>
      <c r="I870" s="64" t="s">
        <v>33</v>
      </c>
      <c r="J870" s="64" t="s">
        <v>35</v>
      </c>
      <c r="K870" s="64" t="s">
        <v>17</v>
      </c>
      <c r="L870" s="64">
        <v>3</v>
      </c>
      <c r="M870" s="66">
        <v>0.29183015460193612</v>
      </c>
      <c r="N870" s="64">
        <v>1130.8699999999999</v>
      </c>
      <c r="O870" s="64" t="s">
        <v>18</v>
      </c>
    </row>
    <row r="871" spans="1:15" x14ac:dyDescent="0.3">
      <c r="A871" s="64">
        <v>870</v>
      </c>
      <c r="B871" s="64">
        <v>1859</v>
      </c>
      <c r="C871" s="64" t="s">
        <v>13</v>
      </c>
      <c r="D871" s="64" t="s">
        <v>20</v>
      </c>
      <c r="E871" s="64">
        <v>31345</v>
      </c>
      <c r="F871" s="64">
        <v>1</v>
      </c>
      <c r="G871" s="64">
        <v>31345</v>
      </c>
      <c r="H871" s="65">
        <v>45438</v>
      </c>
      <c r="I871" s="64" t="s">
        <v>15</v>
      </c>
      <c r="J871" s="64" t="s">
        <v>27</v>
      </c>
      <c r="K871" s="64" t="s">
        <v>17</v>
      </c>
      <c r="L871" s="64">
        <v>1.8</v>
      </c>
      <c r="M871" s="66">
        <v>0.13324613175945127</v>
      </c>
      <c r="N871" s="64">
        <v>5226.8999999999996</v>
      </c>
      <c r="O871" s="64" t="s">
        <v>22</v>
      </c>
    </row>
    <row r="872" spans="1:15" x14ac:dyDescent="0.3">
      <c r="A872" s="64">
        <v>871</v>
      </c>
      <c r="B872" s="64">
        <v>7913</v>
      </c>
      <c r="C872" s="64" t="s">
        <v>32</v>
      </c>
      <c r="D872" s="64" t="s">
        <v>14</v>
      </c>
      <c r="E872" s="64">
        <v>46377</v>
      </c>
      <c r="F872" s="64">
        <v>1</v>
      </c>
      <c r="G872" s="64">
        <v>46377</v>
      </c>
      <c r="H872" s="65">
        <v>45613</v>
      </c>
      <c r="I872" s="64" t="s">
        <v>26</v>
      </c>
      <c r="J872" s="64" t="s">
        <v>27</v>
      </c>
      <c r="K872" s="64" t="s">
        <v>24</v>
      </c>
      <c r="L872" s="64">
        <v>1.9</v>
      </c>
      <c r="M872" s="66">
        <v>0.17309571554865558</v>
      </c>
      <c r="N872" s="64">
        <v>5885.44</v>
      </c>
      <c r="O872" s="64" t="s">
        <v>18</v>
      </c>
    </row>
    <row r="873" spans="1:15" x14ac:dyDescent="0.3">
      <c r="A873" s="64">
        <v>872</v>
      </c>
      <c r="B873" s="64">
        <v>8512</v>
      </c>
      <c r="C873" s="64" t="s">
        <v>32</v>
      </c>
      <c r="D873" s="64" t="s">
        <v>14</v>
      </c>
      <c r="E873" s="64">
        <v>48709</v>
      </c>
      <c r="F873" s="64">
        <v>4</v>
      </c>
      <c r="G873" s="64">
        <v>194836</v>
      </c>
      <c r="H873" s="65">
        <v>45601</v>
      </c>
      <c r="I873" s="64" t="s">
        <v>26</v>
      </c>
      <c r="J873" s="64" t="s">
        <v>27</v>
      </c>
      <c r="K873" s="64" t="s">
        <v>17</v>
      </c>
      <c r="L873" s="64">
        <v>4.0999999999999996</v>
      </c>
      <c r="M873" s="66">
        <v>0.12551648565973433</v>
      </c>
      <c r="N873" s="64">
        <v>33995.67</v>
      </c>
      <c r="O873" s="64" t="s">
        <v>22</v>
      </c>
    </row>
    <row r="874" spans="1:15" x14ac:dyDescent="0.3">
      <c r="A874" s="64">
        <v>873</v>
      </c>
      <c r="B874" s="64">
        <v>7473</v>
      </c>
      <c r="C874" s="64" t="s">
        <v>34</v>
      </c>
      <c r="D874" s="64" t="s">
        <v>14</v>
      </c>
      <c r="E874" s="64">
        <v>11258</v>
      </c>
      <c r="F874" s="64">
        <v>1</v>
      </c>
      <c r="G874" s="64">
        <v>11258</v>
      </c>
      <c r="H874" s="65">
        <v>45341</v>
      </c>
      <c r="I874" s="64" t="s">
        <v>33</v>
      </c>
      <c r="J874" s="64" t="s">
        <v>31</v>
      </c>
      <c r="K874" s="64" t="s">
        <v>24</v>
      </c>
      <c r="L874" s="64">
        <v>2.1</v>
      </c>
      <c r="M874" s="66">
        <v>0.12551874222774914</v>
      </c>
      <c r="N874" s="64">
        <v>1964.31</v>
      </c>
      <c r="O874" s="64" t="s">
        <v>22</v>
      </c>
    </row>
    <row r="875" spans="1:15" x14ac:dyDescent="0.3">
      <c r="A875" s="64">
        <v>874</v>
      </c>
      <c r="B875" s="64">
        <v>3528</v>
      </c>
      <c r="C875" s="64" t="s">
        <v>19</v>
      </c>
      <c r="D875" s="64" t="s">
        <v>20</v>
      </c>
      <c r="E875" s="64">
        <v>32386</v>
      </c>
      <c r="F875" s="64">
        <v>5</v>
      </c>
      <c r="G875" s="64">
        <v>161930</v>
      </c>
      <c r="H875" s="65">
        <v>45636</v>
      </c>
      <c r="I875" s="64" t="s">
        <v>15</v>
      </c>
      <c r="J875" s="64" t="s">
        <v>16</v>
      </c>
      <c r="K875" s="64" t="s">
        <v>24</v>
      </c>
      <c r="L875" s="64">
        <v>2.8</v>
      </c>
      <c r="M875" s="66">
        <v>0.25147841659976533</v>
      </c>
      <c r="N875" s="64">
        <v>7857.1</v>
      </c>
      <c r="O875" s="64" t="s">
        <v>22</v>
      </c>
    </row>
    <row r="876" spans="1:15" x14ac:dyDescent="0.3">
      <c r="A876" s="64">
        <v>875</v>
      </c>
      <c r="B876" s="64">
        <v>2312</v>
      </c>
      <c r="C876" s="64" t="s">
        <v>32</v>
      </c>
      <c r="D876" s="64" t="s">
        <v>20</v>
      </c>
      <c r="E876" s="64">
        <v>42762</v>
      </c>
      <c r="F876" s="64">
        <v>5</v>
      </c>
      <c r="G876" s="64">
        <v>213810</v>
      </c>
      <c r="H876" s="65">
        <v>45388</v>
      </c>
      <c r="I876" s="64" t="s">
        <v>15</v>
      </c>
      <c r="J876" s="64" t="s">
        <v>31</v>
      </c>
      <c r="K876" s="64" t="s">
        <v>24</v>
      </c>
      <c r="L876" s="64">
        <v>1.9</v>
      </c>
      <c r="M876" s="66">
        <v>7.0873064870679583E-2</v>
      </c>
      <c r="N876" s="64">
        <v>48989.63</v>
      </c>
      <c r="O876" s="64" t="s">
        <v>18</v>
      </c>
    </row>
    <row r="877" spans="1:15" x14ac:dyDescent="0.3">
      <c r="A877" s="64">
        <v>876</v>
      </c>
      <c r="B877" s="64">
        <v>9609</v>
      </c>
      <c r="C877" s="64" t="s">
        <v>34</v>
      </c>
      <c r="D877" s="64" t="s">
        <v>20</v>
      </c>
      <c r="E877" s="64">
        <v>1303</v>
      </c>
      <c r="F877" s="64">
        <v>5</v>
      </c>
      <c r="G877" s="64">
        <v>6515</v>
      </c>
      <c r="H877" s="65">
        <v>45396</v>
      </c>
      <c r="I877" s="64" t="s">
        <v>15</v>
      </c>
      <c r="J877" s="64" t="s">
        <v>16</v>
      </c>
      <c r="K877" s="64" t="s">
        <v>24</v>
      </c>
      <c r="L877" s="64">
        <v>3.2</v>
      </c>
      <c r="M877" s="66">
        <v>0.12823177283192633</v>
      </c>
      <c r="N877" s="64">
        <v>1119.07</v>
      </c>
      <c r="O877" s="64" t="s">
        <v>18</v>
      </c>
    </row>
    <row r="878" spans="1:15" x14ac:dyDescent="0.3">
      <c r="A878" s="64">
        <v>877</v>
      </c>
      <c r="B878" s="64">
        <v>9917</v>
      </c>
      <c r="C878" s="64" t="s">
        <v>34</v>
      </c>
      <c r="D878" s="64" t="s">
        <v>25</v>
      </c>
      <c r="E878" s="64">
        <v>16129</v>
      </c>
      <c r="F878" s="64">
        <v>5</v>
      </c>
      <c r="G878" s="64">
        <v>80645</v>
      </c>
      <c r="H878" s="65">
        <v>45306</v>
      </c>
      <c r="I878" s="64" t="s">
        <v>26</v>
      </c>
      <c r="J878" s="64" t="s">
        <v>35</v>
      </c>
      <c r="K878" s="64" t="s">
        <v>28</v>
      </c>
      <c r="L878" s="64">
        <v>4.5999999999999996</v>
      </c>
      <c r="M878" s="66">
        <v>0.19442519685039369</v>
      </c>
      <c r="N878" s="64">
        <v>8514.08</v>
      </c>
      <c r="O878" s="64" t="s">
        <v>22</v>
      </c>
    </row>
    <row r="879" spans="1:15" x14ac:dyDescent="0.3">
      <c r="A879" s="64">
        <v>878</v>
      </c>
      <c r="B879" s="64">
        <v>5312</v>
      </c>
      <c r="C879" s="64" t="s">
        <v>34</v>
      </c>
      <c r="D879" s="64" t="s">
        <v>20</v>
      </c>
      <c r="E879" s="64">
        <v>15445</v>
      </c>
      <c r="F879" s="64">
        <v>1</v>
      </c>
      <c r="G879" s="64">
        <v>15445</v>
      </c>
      <c r="H879" s="65">
        <v>45327</v>
      </c>
      <c r="I879" s="64" t="s">
        <v>26</v>
      </c>
      <c r="J879" s="64" t="s">
        <v>21</v>
      </c>
      <c r="K879" s="64" t="s">
        <v>28</v>
      </c>
      <c r="L879" s="64">
        <v>3.8</v>
      </c>
      <c r="M879" s="66">
        <v>0.1332113952735513</v>
      </c>
      <c r="N879" s="64">
        <v>2576.0500000000002</v>
      </c>
      <c r="O879" s="64" t="s">
        <v>18</v>
      </c>
    </row>
    <row r="880" spans="1:15" x14ac:dyDescent="0.3">
      <c r="A880" s="64">
        <v>879</v>
      </c>
      <c r="B880" s="64">
        <v>1134</v>
      </c>
      <c r="C880" s="64" t="s">
        <v>13</v>
      </c>
      <c r="D880" s="64" t="s">
        <v>14</v>
      </c>
      <c r="E880" s="64">
        <v>10344</v>
      </c>
      <c r="F880" s="64">
        <v>5</v>
      </c>
      <c r="G880" s="64">
        <v>51720</v>
      </c>
      <c r="H880" s="65">
        <v>45474</v>
      </c>
      <c r="I880" s="64" t="s">
        <v>33</v>
      </c>
      <c r="J880" s="64" t="s">
        <v>35</v>
      </c>
      <c r="K880" s="64" t="s">
        <v>28</v>
      </c>
      <c r="L880" s="64">
        <v>1.5</v>
      </c>
      <c r="M880" s="66">
        <v>0.23110808197989172</v>
      </c>
      <c r="N880" s="64">
        <v>3563.09</v>
      </c>
      <c r="O880" s="64" t="s">
        <v>22</v>
      </c>
    </row>
    <row r="881" spans="1:15" x14ac:dyDescent="0.3">
      <c r="A881" s="64">
        <v>880</v>
      </c>
      <c r="B881" s="64">
        <v>9003</v>
      </c>
      <c r="C881" s="64" t="s">
        <v>32</v>
      </c>
      <c r="D881" s="64" t="s">
        <v>20</v>
      </c>
      <c r="E881" s="64">
        <v>9723</v>
      </c>
      <c r="F881" s="64">
        <v>1</v>
      </c>
      <c r="G881" s="64">
        <v>9723</v>
      </c>
      <c r="H881" s="65">
        <v>45519</v>
      </c>
      <c r="I881" s="64" t="s">
        <v>30</v>
      </c>
      <c r="J881" s="64" t="s">
        <v>27</v>
      </c>
      <c r="K881" s="64" t="s">
        <v>28</v>
      </c>
      <c r="L881" s="64">
        <v>2.2000000000000002</v>
      </c>
      <c r="M881" s="66">
        <v>0.2720796050601666</v>
      </c>
      <c r="N881" s="64">
        <v>271.47000000000003</v>
      </c>
      <c r="O881" s="64" t="s">
        <v>18</v>
      </c>
    </row>
    <row r="882" spans="1:15" x14ac:dyDescent="0.3">
      <c r="A882" s="64">
        <v>881</v>
      </c>
      <c r="B882" s="64">
        <v>1887</v>
      </c>
      <c r="C882" s="64" t="s">
        <v>19</v>
      </c>
      <c r="D882" s="64" t="s">
        <v>14</v>
      </c>
      <c r="E882" s="64">
        <v>41626</v>
      </c>
      <c r="F882" s="64">
        <v>3</v>
      </c>
      <c r="G882" s="64">
        <v>124878</v>
      </c>
      <c r="H882" s="65">
        <v>45393</v>
      </c>
      <c r="I882" s="64" t="s">
        <v>15</v>
      </c>
      <c r="J882" s="64" t="s">
        <v>31</v>
      </c>
      <c r="K882" s="64" t="s">
        <v>24</v>
      </c>
      <c r="L882" s="64">
        <v>3</v>
      </c>
      <c r="M882" s="66">
        <v>0.15159868031198451</v>
      </c>
      <c r="N882" s="64">
        <v>18532.060000000001</v>
      </c>
      <c r="O882" s="64" t="s">
        <v>22</v>
      </c>
    </row>
    <row r="883" spans="1:15" x14ac:dyDescent="0.3">
      <c r="A883" s="64">
        <v>882</v>
      </c>
      <c r="B883" s="64">
        <v>6037</v>
      </c>
      <c r="C883" s="64" t="s">
        <v>34</v>
      </c>
      <c r="D883" s="64" t="s">
        <v>25</v>
      </c>
      <c r="E883" s="64">
        <v>12386</v>
      </c>
      <c r="F883" s="64">
        <v>2</v>
      </c>
      <c r="G883" s="64">
        <v>24772</v>
      </c>
      <c r="H883" s="65">
        <v>45423</v>
      </c>
      <c r="I883" s="64" t="s">
        <v>33</v>
      </c>
      <c r="J883" s="64" t="s">
        <v>21</v>
      </c>
      <c r="K883" s="64" t="s">
        <v>24</v>
      </c>
      <c r="L883" s="64">
        <v>3.5</v>
      </c>
      <c r="M883" s="66">
        <v>0.13731067334086872</v>
      </c>
      <c r="N883" s="64">
        <v>4030.14</v>
      </c>
      <c r="O883" s="64" t="s">
        <v>22</v>
      </c>
    </row>
    <row r="884" spans="1:15" x14ac:dyDescent="0.3">
      <c r="A884" s="64">
        <v>883</v>
      </c>
      <c r="B884" s="64">
        <v>7689</v>
      </c>
      <c r="C884" s="64" t="s">
        <v>23</v>
      </c>
      <c r="D884" s="64" t="s">
        <v>20</v>
      </c>
      <c r="E884" s="64">
        <v>10175</v>
      </c>
      <c r="F884" s="64">
        <v>3</v>
      </c>
      <c r="G884" s="64">
        <v>30525</v>
      </c>
      <c r="H884" s="65">
        <v>45487</v>
      </c>
      <c r="I884" s="64" t="s">
        <v>30</v>
      </c>
      <c r="J884" s="64" t="s">
        <v>21</v>
      </c>
      <c r="K884" s="64" t="s">
        <v>17</v>
      </c>
      <c r="L884" s="64">
        <v>5</v>
      </c>
      <c r="M884" s="66">
        <v>0.23621916461916462</v>
      </c>
      <c r="N884" s="64">
        <v>1946.91</v>
      </c>
      <c r="O884" s="64" t="s">
        <v>22</v>
      </c>
    </row>
    <row r="885" spans="1:15" x14ac:dyDescent="0.3">
      <c r="A885" s="64">
        <v>884</v>
      </c>
      <c r="B885" s="64">
        <v>2504</v>
      </c>
      <c r="C885" s="64" t="s">
        <v>34</v>
      </c>
      <c r="D885" s="64" t="s">
        <v>14</v>
      </c>
      <c r="E885" s="64">
        <v>36772</v>
      </c>
      <c r="F885" s="64">
        <v>2</v>
      </c>
      <c r="G885" s="64">
        <v>73544</v>
      </c>
      <c r="H885" s="65">
        <v>45423</v>
      </c>
      <c r="I885" s="64" t="s">
        <v>30</v>
      </c>
      <c r="J885" s="64" t="s">
        <v>21</v>
      </c>
      <c r="K885" s="64" t="s">
        <v>17</v>
      </c>
      <c r="L885" s="64">
        <v>4.5</v>
      </c>
      <c r="M885" s="66">
        <v>0.29012931034482758</v>
      </c>
      <c r="N885" s="64">
        <v>725.93</v>
      </c>
      <c r="O885" s="64" t="s">
        <v>18</v>
      </c>
    </row>
    <row r="886" spans="1:15" x14ac:dyDescent="0.3">
      <c r="A886" s="64">
        <v>885</v>
      </c>
      <c r="B886" s="64">
        <v>5521</v>
      </c>
      <c r="C886" s="64" t="s">
        <v>23</v>
      </c>
      <c r="D886" s="64" t="s">
        <v>25</v>
      </c>
      <c r="E886" s="64">
        <v>42631</v>
      </c>
      <c r="F886" s="64">
        <v>1</v>
      </c>
      <c r="G886" s="64">
        <v>42631</v>
      </c>
      <c r="H886" s="65">
        <v>45599</v>
      </c>
      <c r="I886" s="64" t="s">
        <v>30</v>
      </c>
      <c r="J886" s="64" t="s">
        <v>35</v>
      </c>
      <c r="K886" s="64" t="s">
        <v>28</v>
      </c>
      <c r="L886" s="64">
        <v>2.1</v>
      </c>
      <c r="M886" s="66">
        <v>0.15351434402195585</v>
      </c>
      <c r="N886" s="64">
        <v>6244.83</v>
      </c>
      <c r="O886" s="64" t="s">
        <v>18</v>
      </c>
    </row>
    <row r="887" spans="1:15" x14ac:dyDescent="0.3">
      <c r="A887" s="64">
        <v>886</v>
      </c>
      <c r="B887" s="64">
        <v>6478</v>
      </c>
      <c r="C887" s="64" t="s">
        <v>32</v>
      </c>
      <c r="D887" s="64" t="s">
        <v>20</v>
      </c>
      <c r="E887" s="64">
        <v>41091</v>
      </c>
      <c r="F887" s="64">
        <v>3</v>
      </c>
      <c r="G887" s="64">
        <v>123273</v>
      </c>
      <c r="H887" s="65">
        <v>45450</v>
      </c>
      <c r="I887" s="64" t="s">
        <v>15</v>
      </c>
      <c r="J887" s="64" t="s">
        <v>31</v>
      </c>
      <c r="K887" s="64" t="s">
        <v>17</v>
      </c>
      <c r="L887" s="64">
        <v>1.4</v>
      </c>
      <c r="M887" s="66">
        <v>0.27758365578837213</v>
      </c>
      <c r="N887" s="64">
        <v>2763.33</v>
      </c>
      <c r="O887" s="64" t="s">
        <v>18</v>
      </c>
    </row>
    <row r="888" spans="1:15" x14ac:dyDescent="0.3">
      <c r="A888" s="64">
        <v>887</v>
      </c>
      <c r="B888" s="64">
        <v>6866</v>
      </c>
      <c r="C888" s="64" t="s">
        <v>19</v>
      </c>
      <c r="D888" s="64" t="s">
        <v>25</v>
      </c>
      <c r="E888" s="64">
        <v>44353</v>
      </c>
      <c r="F888" s="64">
        <v>4</v>
      </c>
      <c r="G888" s="64">
        <v>177412</v>
      </c>
      <c r="H888" s="65">
        <v>45574</v>
      </c>
      <c r="I888" s="64" t="s">
        <v>26</v>
      </c>
      <c r="J888" s="64" t="s">
        <v>27</v>
      </c>
      <c r="K888" s="64" t="s">
        <v>28</v>
      </c>
      <c r="L888" s="64">
        <v>2.7</v>
      </c>
      <c r="M888" s="66">
        <v>5.0928065745270895E-2</v>
      </c>
      <c r="N888" s="64">
        <v>44188.35</v>
      </c>
      <c r="O888" s="64" t="s">
        <v>18</v>
      </c>
    </row>
    <row r="889" spans="1:15" x14ac:dyDescent="0.3">
      <c r="A889" s="64">
        <v>888</v>
      </c>
      <c r="B889" s="64">
        <v>5574</v>
      </c>
      <c r="C889" s="64" t="s">
        <v>34</v>
      </c>
      <c r="D889" s="64" t="s">
        <v>14</v>
      </c>
      <c r="E889" s="64">
        <v>29837</v>
      </c>
      <c r="F889" s="64">
        <v>4</v>
      </c>
      <c r="G889" s="64">
        <v>119348</v>
      </c>
      <c r="H889" s="65">
        <v>45348</v>
      </c>
      <c r="I889" s="64" t="s">
        <v>30</v>
      </c>
      <c r="J889" s="64" t="s">
        <v>35</v>
      </c>
      <c r="K889" s="64" t="s">
        <v>28</v>
      </c>
      <c r="L889" s="64">
        <v>2.6</v>
      </c>
      <c r="M889" s="66">
        <v>0.11203279485202935</v>
      </c>
      <c r="N889" s="64">
        <v>22433.51</v>
      </c>
      <c r="O889" s="64" t="s">
        <v>18</v>
      </c>
    </row>
    <row r="890" spans="1:15" x14ac:dyDescent="0.3">
      <c r="A890" s="64">
        <v>889</v>
      </c>
      <c r="B890" s="64">
        <v>1867</v>
      </c>
      <c r="C890" s="64" t="s">
        <v>32</v>
      </c>
      <c r="D890" s="64" t="s">
        <v>20</v>
      </c>
      <c r="E890" s="64">
        <v>22700</v>
      </c>
      <c r="F890" s="64">
        <v>5</v>
      </c>
      <c r="G890" s="64">
        <v>113500</v>
      </c>
      <c r="H890" s="65">
        <v>45318</v>
      </c>
      <c r="I890" s="64" t="s">
        <v>30</v>
      </c>
      <c r="J890" s="64" t="s">
        <v>16</v>
      </c>
      <c r="K890" s="64" t="s">
        <v>24</v>
      </c>
      <c r="L890" s="64">
        <v>1.7</v>
      </c>
      <c r="M890" s="66">
        <v>0.10904748898678414</v>
      </c>
      <c r="N890" s="64">
        <v>21673.11</v>
      </c>
      <c r="O890" s="64" t="s">
        <v>22</v>
      </c>
    </row>
    <row r="891" spans="1:15" x14ac:dyDescent="0.3">
      <c r="A891" s="64">
        <v>890</v>
      </c>
      <c r="B891" s="64">
        <v>8739</v>
      </c>
      <c r="C891" s="64" t="s">
        <v>19</v>
      </c>
      <c r="D891" s="64" t="s">
        <v>14</v>
      </c>
      <c r="E891" s="64">
        <v>47482</v>
      </c>
      <c r="F891" s="64">
        <v>3</v>
      </c>
      <c r="G891" s="64">
        <v>142446</v>
      </c>
      <c r="H891" s="65">
        <v>45446</v>
      </c>
      <c r="I891" s="64" t="s">
        <v>30</v>
      </c>
      <c r="J891" s="64" t="s">
        <v>16</v>
      </c>
      <c r="K891" s="64" t="s">
        <v>17</v>
      </c>
      <c r="L891" s="64">
        <v>4.9000000000000004</v>
      </c>
      <c r="M891" s="66">
        <v>5.4928253513612177E-2</v>
      </c>
      <c r="N891" s="64">
        <v>34909.49</v>
      </c>
      <c r="O891" s="64" t="s">
        <v>18</v>
      </c>
    </row>
    <row r="892" spans="1:15" x14ac:dyDescent="0.3">
      <c r="A892" s="64">
        <v>891</v>
      </c>
      <c r="B892" s="64">
        <v>9381</v>
      </c>
      <c r="C892" s="64" t="s">
        <v>23</v>
      </c>
      <c r="D892" s="64" t="s">
        <v>25</v>
      </c>
      <c r="E892" s="64">
        <v>10506</v>
      </c>
      <c r="F892" s="64">
        <v>1</v>
      </c>
      <c r="G892" s="64">
        <v>10506</v>
      </c>
      <c r="H892" s="65">
        <v>45439</v>
      </c>
      <c r="I892" s="64" t="s">
        <v>30</v>
      </c>
      <c r="J892" s="64" t="s">
        <v>21</v>
      </c>
      <c r="K892" s="64" t="s">
        <v>28</v>
      </c>
      <c r="L892" s="64">
        <v>1.2</v>
      </c>
      <c r="M892" s="66">
        <v>0.20391300209404151</v>
      </c>
      <c r="N892" s="64">
        <v>1009.49</v>
      </c>
      <c r="O892" s="64" t="s">
        <v>22</v>
      </c>
    </row>
    <row r="893" spans="1:15" x14ac:dyDescent="0.3">
      <c r="A893" s="64">
        <v>892</v>
      </c>
      <c r="B893" s="64">
        <v>1168</v>
      </c>
      <c r="C893" s="64" t="s">
        <v>34</v>
      </c>
      <c r="D893" s="64" t="s">
        <v>20</v>
      </c>
      <c r="E893" s="64">
        <v>26867</v>
      </c>
      <c r="F893" s="64">
        <v>5</v>
      </c>
      <c r="G893" s="64">
        <v>134335</v>
      </c>
      <c r="H893" s="65">
        <v>45484</v>
      </c>
      <c r="I893" s="64" t="s">
        <v>33</v>
      </c>
      <c r="J893" s="64" t="s">
        <v>35</v>
      </c>
      <c r="K893" s="64" t="s">
        <v>28</v>
      </c>
      <c r="L893" s="64">
        <v>2.1</v>
      </c>
      <c r="M893" s="66">
        <v>0.24664130717981164</v>
      </c>
      <c r="N893" s="64">
        <v>7167.94</v>
      </c>
      <c r="O893" s="64" t="s">
        <v>22</v>
      </c>
    </row>
    <row r="894" spans="1:15" x14ac:dyDescent="0.3">
      <c r="A894" s="64">
        <v>893</v>
      </c>
      <c r="B894" s="64">
        <v>2800</v>
      </c>
      <c r="C894" s="64" t="s">
        <v>32</v>
      </c>
      <c r="D894" s="64" t="s">
        <v>25</v>
      </c>
      <c r="E894" s="64">
        <v>38612</v>
      </c>
      <c r="F894" s="64">
        <v>1</v>
      </c>
      <c r="G894" s="64">
        <v>38612</v>
      </c>
      <c r="H894" s="65">
        <v>45339</v>
      </c>
      <c r="I894" s="64" t="s">
        <v>26</v>
      </c>
      <c r="J894" s="64" t="s">
        <v>16</v>
      </c>
      <c r="K894" s="64" t="s">
        <v>17</v>
      </c>
      <c r="L894" s="64">
        <v>4.5</v>
      </c>
      <c r="M894" s="66">
        <v>9.3957577955039881E-2</v>
      </c>
      <c r="N894" s="64">
        <v>7955.71</v>
      </c>
      <c r="O894" s="64" t="s">
        <v>22</v>
      </c>
    </row>
    <row r="895" spans="1:15" x14ac:dyDescent="0.3">
      <c r="A895" s="64">
        <v>894</v>
      </c>
      <c r="B895" s="64">
        <v>3324</v>
      </c>
      <c r="C895" s="64" t="s">
        <v>23</v>
      </c>
      <c r="D895" s="64" t="s">
        <v>14</v>
      </c>
      <c r="E895" s="64">
        <v>18339</v>
      </c>
      <c r="F895" s="64">
        <v>2</v>
      </c>
      <c r="G895" s="64">
        <v>36678</v>
      </c>
      <c r="H895" s="65">
        <v>45409</v>
      </c>
      <c r="I895" s="64" t="s">
        <v>33</v>
      </c>
      <c r="J895" s="64" t="s">
        <v>35</v>
      </c>
      <c r="K895" s="64" t="s">
        <v>24</v>
      </c>
      <c r="L895" s="64">
        <v>4.3</v>
      </c>
      <c r="M895" s="66">
        <v>7.2824581492993076E-2</v>
      </c>
      <c r="N895" s="64">
        <v>8332.34</v>
      </c>
      <c r="O895" s="64" t="s">
        <v>22</v>
      </c>
    </row>
    <row r="896" spans="1:15" x14ac:dyDescent="0.3">
      <c r="A896" s="64">
        <v>895</v>
      </c>
      <c r="B896" s="64">
        <v>7086</v>
      </c>
      <c r="C896" s="64" t="s">
        <v>13</v>
      </c>
      <c r="D896" s="64" t="s">
        <v>20</v>
      </c>
      <c r="E896" s="64">
        <v>25102</v>
      </c>
      <c r="F896" s="64">
        <v>1</v>
      </c>
      <c r="G896" s="64">
        <v>25102</v>
      </c>
      <c r="H896" s="65">
        <v>45656</v>
      </c>
      <c r="I896" s="64" t="s">
        <v>15</v>
      </c>
      <c r="J896" s="64" t="s">
        <v>27</v>
      </c>
      <c r="K896" s="64" t="s">
        <v>24</v>
      </c>
      <c r="L896" s="64">
        <v>2.9</v>
      </c>
      <c r="M896" s="66">
        <v>0.18687395426659228</v>
      </c>
      <c r="N896" s="64">
        <v>2839.69</v>
      </c>
      <c r="O896" s="64" t="s">
        <v>22</v>
      </c>
    </row>
    <row r="897" spans="1:15" x14ac:dyDescent="0.3">
      <c r="A897" s="64">
        <v>896</v>
      </c>
      <c r="B897" s="64">
        <v>4929</v>
      </c>
      <c r="C897" s="64" t="s">
        <v>29</v>
      </c>
      <c r="D897" s="64" t="s">
        <v>20</v>
      </c>
      <c r="E897" s="64">
        <v>34847</v>
      </c>
      <c r="F897" s="64">
        <v>2</v>
      </c>
      <c r="G897" s="64">
        <v>69694</v>
      </c>
      <c r="H897" s="65">
        <v>45354</v>
      </c>
      <c r="I897" s="64" t="s">
        <v>30</v>
      </c>
      <c r="J897" s="64" t="s">
        <v>31</v>
      </c>
      <c r="K897" s="64" t="s">
        <v>17</v>
      </c>
      <c r="L897" s="64">
        <v>2.5</v>
      </c>
      <c r="M897" s="66">
        <v>0.23753235572646142</v>
      </c>
      <c r="N897" s="64">
        <v>4353.62</v>
      </c>
      <c r="O897" s="64" t="s">
        <v>22</v>
      </c>
    </row>
    <row r="898" spans="1:15" x14ac:dyDescent="0.3">
      <c r="A898" s="64">
        <v>897</v>
      </c>
      <c r="B898" s="64">
        <v>9762</v>
      </c>
      <c r="C898" s="64" t="s">
        <v>13</v>
      </c>
      <c r="D898" s="64" t="s">
        <v>14</v>
      </c>
      <c r="E898" s="64">
        <v>19212</v>
      </c>
      <c r="F898" s="64">
        <v>1</v>
      </c>
      <c r="G898" s="64">
        <v>19212</v>
      </c>
      <c r="H898" s="65">
        <v>45480</v>
      </c>
      <c r="I898" s="64" t="s">
        <v>33</v>
      </c>
      <c r="J898" s="64" t="s">
        <v>35</v>
      </c>
      <c r="K898" s="64" t="s">
        <v>28</v>
      </c>
      <c r="L898" s="64">
        <v>3.5</v>
      </c>
      <c r="M898" s="66">
        <v>8.2410472621278361E-2</v>
      </c>
      <c r="N898" s="64">
        <v>4180.33</v>
      </c>
      <c r="O898" s="64" t="s">
        <v>18</v>
      </c>
    </row>
    <row r="899" spans="1:15" x14ac:dyDescent="0.3">
      <c r="A899" s="64">
        <v>898</v>
      </c>
      <c r="B899" s="64">
        <v>5837</v>
      </c>
      <c r="C899" s="64" t="s">
        <v>19</v>
      </c>
      <c r="D899" s="64" t="s">
        <v>20</v>
      </c>
      <c r="E899" s="64">
        <v>15645</v>
      </c>
      <c r="F899" s="64">
        <v>1</v>
      </c>
      <c r="G899" s="64">
        <v>15645</v>
      </c>
      <c r="H899" s="65">
        <v>45326</v>
      </c>
      <c r="I899" s="64" t="s">
        <v>30</v>
      </c>
      <c r="J899" s="64" t="s">
        <v>27</v>
      </c>
      <c r="K899" s="64" t="s">
        <v>28</v>
      </c>
      <c r="L899" s="64">
        <v>2.2000000000000002</v>
      </c>
      <c r="M899" s="66">
        <v>0.26480600830936402</v>
      </c>
      <c r="N899" s="64">
        <v>550.61</v>
      </c>
      <c r="O899" s="64" t="s">
        <v>18</v>
      </c>
    </row>
    <row r="900" spans="1:15" x14ac:dyDescent="0.3">
      <c r="A900" s="64">
        <v>899</v>
      </c>
      <c r="B900" s="64">
        <v>7627</v>
      </c>
      <c r="C900" s="64" t="s">
        <v>19</v>
      </c>
      <c r="D900" s="64" t="s">
        <v>14</v>
      </c>
      <c r="E900" s="64">
        <v>24227</v>
      </c>
      <c r="F900" s="64">
        <v>4</v>
      </c>
      <c r="G900" s="64">
        <v>96908</v>
      </c>
      <c r="H900" s="65">
        <v>45509</v>
      </c>
      <c r="I900" s="64" t="s">
        <v>15</v>
      </c>
      <c r="J900" s="64" t="s">
        <v>31</v>
      </c>
      <c r="K900" s="64" t="s">
        <v>24</v>
      </c>
      <c r="L900" s="64">
        <v>2.8</v>
      </c>
      <c r="M900" s="66">
        <v>0.2826418871506996</v>
      </c>
      <c r="N900" s="64">
        <v>1682.14</v>
      </c>
      <c r="O900" s="64" t="s">
        <v>22</v>
      </c>
    </row>
    <row r="901" spans="1:15" x14ac:dyDescent="0.3">
      <c r="A901" s="64">
        <v>900</v>
      </c>
      <c r="B901" s="64">
        <v>8201</v>
      </c>
      <c r="C901" s="64" t="s">
        <v>19</v>
      </c>
      <c r="D901" s="64" t="s">
        <v>20</v>
      </c>
      <c r="E901" s="64">
        <v>9130</v>
      </c>
      <c r="F901" s="64">
        <v>3</v>
      </c>
      <c r="G901" s="64">
        <v>27390</v>
      </c>
      <c r="H901" s="65">
        <v>45383</v>
      </c>
      <c r="I901" s="64" t="s">
        <v>33</v>
      </c>
      <c r="J901" s="64" t="s">
        <v>21</v>
      </c>
      <c r="K901" s="64" t="s">
        <v>17</v>
      </c>
      <c r="L901" s="64">
        <v>2.5</v>
      </c>
      <c r="M901" s="66">
        <v>0.18849872216137276</v>
      </c>
      <c r="N901" s="64">
        <v>3054.02</v>
      </c>
      <c r="O901" s="64" t="s">
        <v>22</v>
      </c>
    </row>
    <row r="902" spans="1:15" x14ac:dyDescent="0.3">
      <c r="A902" s="64">
        <v>901</v>
      </c>
      <c r="B902" s="64">
        <v>4208</v>
      </c>
      <c r="C902" s="64" t="s">
        <v>34</v>
      </c>
      <c r="D902" s="64" t="s">
        <v>20</v>
      </c>
      <c r="E902" s="64">
        <v>35856</v>
      </c>
      <c r="F902" s="64">
        <v>3</v>
      </c>
      <c r="G902" s="64">
        <v>107568</v>
      </c>
      <c r="H902" s="65">
        <v>45585</v>
      </c>
      <c r="I902" s="64" t="s">
        <v>30</v>
      </c>
      <c r="J902" s="64" t="s">
        <v>27</v>
      </c>
      <c r="K902" s="64" t="s">
        <v>24</v>
      </c>
      <c r="L902" s="64">
        <v>3.6</v>
      </c>
      <c r="M902" s="66">
        <v>0.25744347761416037</v>
      </c>
      <c r="N902" s="64">
        <v>4577.72</v>
      </c>
      <c r="O902" s="64" t="s">
        <v>22</v>
      </c>
    </row>
    <row r="903" spans="1:15" x14ac:dyDescent="0.3">
      <c r="A903" s="64">
        <v>902</v>
      </c>
      <c r="B903" s="64">
        <v>8498</v>
      </c>
      <c r="C903" s="64" t="s">
        <v>13</v>
      </c>
      <c r="D903" s="64" t="s">
        <v>25</v>
      </c>
      <c r="E903" s="64">
        <v>46386</v>
      </c>
      <c r="F903" s="64">
        <v>3</v>
      </c>
      <c r="G903" s="64">
        <v>139158</v>
      </c>
      <c r="H903" s="65">
        <v>45491</v>
      </c>
      <c r="I903" s="64" t="s">
        <v>26</v>
      </c>
      <c r="J903" s="64" t="s">
        <v>35</v>
      </c>
      <c r="K903" s="64" t="s">
        <v>24</v>
      </c>
      <c r="L903" s="64">
        <v>4.4000000000000004</v>
      </c>
      <c r="M903" s="66">
        <v>0.21702611420112389</v>
      </c>
      <c r="N903" s="64">
        <v>11546.48</v>
      </c>
      <c r="O903" s="64" t="s">
        <v>18</v>
      </c>
    </row>
    <row r="904" spans="1:15" x14ac:dyDescent="0.3">
      <c r="A904" s="64">
        <v>903</v>
      </c>
      <c r="B904" s="64">
        <v>1167</v>
      </c>
      <c r="C904" s="64" t="s">
        <v>23</v>
      </c>
      <c r="D904" s="64" t="s">
        <v>14</v>
      </c>
      <c r="E904" s="64">
        <v>9991</v>
      </c>
      <c r="F904" s="64">
        <v>3</v>
      </c>
      <c r="G904" s="64">
        <v>29973</v>
      </c>
      <c r="H904" s="65">
        <v>45649</v>
      </c>
      <c r="I904" s="64" t="s">
        <v>26</v>
      </c>
      <c r="J904" s="64" t="s">
        <v>35</v>
      </c>
      <c r="K904" s="64" t="s">
        <v>28</v>
      </c>
      <c r="L904" s="64">
        <v>3.2</v>
      </c>
      <c r="M904" s="66">
        <v>0.23545924665532314</v>
      </c>
      <c r="N904" s="64">
        <v>1934.48</v>
      </c>
      <c r="O904" s="64" t="s">
        <v>18</v>
      </c>
    </row>
    <row r="905" spans="1:15" x14ac:dyDescent="0.3">
      <c r="A905" s="64">
        <v>904</v>
      </c>
      <c r="B905" s="64">
        <v>3240</v>
      </c>
      <c r="C905" s="64" t="s">
        <v>13</v>
      </c>
      <c r="D905" s="64" t="s">
        <v>14</v>
      </c>
      <c r="E905" s="64">
        <v>36430</v>
      </c>
      <c r="F905" s="64">
        <v>4</v>
      </c>
      <c r="G905" s="64">
        <v>145720</v>
      </c>
      <c r="H905" s="65">
        <v>45614</v>
      </c>
      <c r="I905" s="64" t="s">
        <v>33</v>
      </c>
      <c r="J905" s="64" t="s">
        <v>27</v>
      </c>
      <c r="K905" s="64" t="s">
        <v>28</v>
      </c>
      <c r="L905" s="64">
        <v>1.6</v>
      </c>
      <c r="M905" s="66">
        <v>0.26040337633818283</v>
      </c>
      <c r="N905" s="64">
        <v>5770.02</v>
      </c>
      <c r="O905" s="64" t="s">
        <v>18</v>
      </c>
    </row>
    <row r="906" spans="1:15" x14ac:dyDescent="0.3">
      <c r="A906" s="64">
        <v>905</v>
      </c>
      <c r="B906" s="64">
        <v>3081</v>
      </c>
      <c r="C906" s="64" t="s">
        <v>13</v>
      </c>
      <c r="D906" s="64" t="s">
        <v>25</v>
      </c>
      <c r="E906" s="64">
        <v>26921</v>
      </c>
      <c r="F906" s="64">
        <v>4</v>
      </c>
      <c r="G906" s="64">
        <v>107684</v>
      </c>
      <c r="H906" s="65">
        <v>45329</v>
      </c>
      <c r="I906" s="64" t="s">
        <v>15</v>
      </c>
      <c r="J906" s="64" t="s">
        <v>31</v>
      </c>
      <c r="K906" s="64" t="s">
        <v>17</v>
      </c>
      <c r="L906" s="64">
        <v>3.6</v>
      </c>
      <c r="M906" s="66">
        <v>0.23316602280747373</v>
      </c>
      <c r="N906" s="64">
        <v>7196.95</v>
      </c>
      <c r="O906" s="64" t="s">
        <v>22</v>
      </c>
    </row>
    <row r="907" spans="1:15" x14ac:dyDescent="0.3">
      <c r="A907" s="64">
        <v>906</v>
      </c>
      <c r="B907" s="64">
        <v>9881</v>
      </c>
      <c r="C907" s="64" t="s">
        <v>29</v>
      </c>
      <c r="D907" s="64" t="s">
        <v>25</v>
      </c>
      <c r="E907" s="64">
        <v>19520</v>
      </c>
      <c r="F907" s="64">
        <v>2</v>
      </c>
      <c r="G907" s="64">
        <v>39040</v>
      </c>
      <c r="H907" s="65">
        <v>45426</v>
      </c>
      <c r="I907" s="64" t="s">
        <v>33</v>
      </c>
      <c r="J907" s="64" t="s">
        <v>31</v>
      </c>
      <c r="K907" s="64" t="s">
        <v>17</v>
      </c>
      <c r="L907" s="64">
        <v>4.3</v>
      </c>
      <c r="M907" s="66">
        <v>0.27651357581967212</v>
      </c>
      <c r="N907" s="64">
        <v>916.91</v>
      </c>
      <c r="O907" s="64" t="s">
        <v>22</v>
      </c>
    </row>
    <row r="908" spans="1:15" x14ac:dyDescent="0.3">
      <c r="A908" s="64">
        <v>907</v>
      </c>
      <c r="B908" s="64">
        <v>4042</v>
      </c>
      <c r="C908" s="64" t="s">
        <v>32</v>
      </c>
      <c r="D908" s="64" t="s">
        <v>14</v>
      </c>
      <c r="E908" s="64">
        <v>11055</v>
      </c>
      <c r="F908" s="64">
        <v>5</v>
      </c>
      <c r="G908" s="64">
        <v>55275</v>
      </c>
      <c r="H908" s="65">
        <v>45469</v>
      </c>
      <c r="I908" s="64" t="s">
        <v>26</v>
      </c>
      <c r="J908" s="64" t="s">
        <v>16</v>
      </c>
      <c r="K908" s="64" t="s">
        <v>17</v>
      </c>
      <c r="L908" s="64">
        <v>4.5</v>
      </c>
      <c r="M908" s="66">
        <v>0.10784748982360924</v>
      </c>
      <c r="N908" s="64">
        <v>10621.23</v>
      </c>
      <c r="O908" s="64" t="s">
        <v>22</v>
      </c>
    </row>
    <row r="909" spans="1:15" x14ac:dyDescent="0.3">
      <c r="A909" s="64">
        <v>908</v>
      </c>
      <c r="B909" s="64">
        <v>3851</v>
      </c>
      <c r="C909" s="64" t="s">
        <v>34</v>
      </c>
      <c r="D909" s="64" t="s">
        <v>25</v>
      </c>
      <c r="E909" s="64">
        <v>44780</v>
      </c>
      <c r="F909" s="64">
        <v>2</v>
      </c>
      <c r="G909" s="64">
        <v>89560</v>
      </c>
      <c r="H909" s="65">
        <v>45531</v>
      </c>
      <c r="I909" s="64" t="s">
        <v>30</v>
      </c>
      <c r="J909" s="64" t="s">
        <v>27</v>
      </c>
      <c r="K909" s="64" t="s">
        <v>24</v>
      </c>
      <c r="L909" s="64">
        <v>2.8</v>
      </c>
      <c r="M909" s="66">
        <v>0.27966268423403307</v>
      </c>
      <c r="N909" s="64">
        <v>1821.41</v>
      </c>
      <c r="O909" s="64" t="s">
        <v>22</v>
      </c>
    </row>
    <row r="910" spans="1:15" x14ac:dyDescent="0.3">
      <c r="A910" s="64">
        <v>909</v>
      </c>
      <c r="B910" s="64">
        <v>5304</v>
      </c>
      <c r="C910" s="64" t="s">
        <v>29</v>
      </c>
      <c r="D910" s="64" t="s">
        <v>20</v>
      </c>
      <c r="E910" s="64">
        <v>44821</v>
      </c>
      <c r="F910" s="64">
        <v>5</v>
      </c>
      <c r="G910" s="64">
        <v>224105</v>
      </c>
      <c r="H910" s="65">
        <v>45639</v>
      </c>
      <c r="I910" s="64" t="s">
        <v>33</v>
      </c>
      <c r="J910" s="64" t="s">
        <v>35</v>
      </c>
      <c r="K910" s="64" t="s">
        <v>17</v>
      </c>
      <c r="L910" s="64">
        <v>1.7</v>
      </c>
      <c r="M910" s="66">
        <v>7.0579148167153785E-2</v>
      </c>
      <c r="N910" s="64">
        <v>51414.36</v>
      </c>
      <c r="O910" s="64" t="s">
        <v>22</v>
      </c>
    </row>
    <row r="911" spans="1:15" x14ac:dyDescent="0.3">
      <c r="A911" s="64">
        <v>910</v>
      </c>
      <c r="B911" s="64">
        <v>2934</v>
      </c>
      <c r="C911" s="64" t="s">
        <v>19</v>
      </c>
      <c r="D911" s="64" t="s">
        <v>20</v>
      </c>
      <c r="E911" s="64">
        <v>43877</v>
      </c>
      <c r="F911" s="64">
        <v>3</v>
      </c>
      <c r="G911" s="64">
        <v>131631</v>
      </c>
      <c r="H911" s="65">
        <v>45569</v>
      </c>
      <c r="I911" s="64" t="s">
        <v>30</v>
      </c>
      <c r="J911" s="64" t="s">
        <v>31</v>
      </c>
      <c r="K911" s="64" t="s">
        <v>17</v>
      </c>
      <c r="L911" s="64">
        <v>4.5999999999999996</v>
      </c>
      <c r="M911" s="66">
        <v>0.2267469668998944</v>
      </c>
      <c r="N911" s="64">
        <v>9642.3700000000008</v>
      </c>
      <c r="O911" s="64" t="s">
        <v>22</v>
      </c>
    </row>
    <row r="912" spans="1:15" x14ac:dyDescent="0.3">
      <c r="A912" s="64">
        <v>911</v>
      </c>
      <c r="B912" s="64">
        <v>2594</v>
      </c>
      <c r="C912" s="64" t="s">
        <v>32</v>
      </c>
      <c r="D912" s="64" t="s">
        <v>25</v>
      </c>
      <c r="E912" s="64">
        <v>17680</v>
      </c>
      <c r="F912" s="64">
        <v>3</v>
      </c>
      <c r="G912" s="64">
        <v>53040</v>
      </c>
      <c r="H912" s="65">
        <v>45411</v>
      </c>
      <c r="I912" s="64" t="s">
        <v>33</v>
      </c>
      <c r="J912" s="64" t="s">
        <v>27</v>
      </c>
      <c r="K912" s="64" t="s">
        <v>24</v>
      </c>
      <c r="L912" s="64">
        <v>4</v>
      </c>
      <c r="M912" s="66">
        <v>0.2079653092006033</v>
      </c>
      <c r="N912" s="64">
        <v>4881.5200000000004</v>
      </c>
      <c r="O912" s="64" t="s">
        <v>18</v>
      </c>
    </row>
    <row r="913" spans="1:15" x14ac:dyDescent="0.3">
      <c r="A913" s="64">
        <v>912</v>
      </c>
      <c r="B913" s="64">
        <v>9704</v>
      </c>
      <c r="C913" s="64" t="s">
        <v>23</v>
      </c>
      <c r="D913" s="64" t="s">
        <v>14</v>
      </c>
      <c r="E913" s="64">
        <v>23516</v>
      </c>
      <c r="F913" s="64">
        <v>5</v>
      </c>
      <c r="G913" s="64">
        <v>117580</v>
      </c>
      <c r="H913" s="65">
        <v>45400</v>
      </c>
      <c r="I913" s="64" t="s">
        <v>15</v>
      </c>
      <c r="J913" s="64" t="s">
        <v>27</v>
      </c>
      <c r="K913" s="64" t="s">
        <v>28</v>
      </c>
      <c r="L913" s="64">
        <v>1.6</v>
      </c>
      <c r="M913" s="66">
        <v>0.24792371151556386</v>
      </c>
      <c r="N913" s="64">
        <v>6123.13</v>
      </c>
      <c r="O913" s="64" t="s">
        <v>22</v>
      </c>
    </row>
    <row r="914" spans="1:15" x14ac:dyDescent="0.3">
      <c r="A914" s="64">
        <v>913</v>
      </c>
      <c r="B914" s="64">
        <v>6349</v>
      </c>
      <c r="C914" s="64" t="s">
        <v>13</v>
      </c>
      <c r="D914" s="64" t="s">
        <v>14</v>
      </c>
      <c r="E914" s="64">
        <v>33134</v>
      </c>
      <c r="F914" s="64">
        <v>3</v>
      </c>
      <c r="G914" s="64">
        <v>99402</v>
      </c>
      <c r="H914" s="65">
        <v>45414</v>
      </c>
      <c r="I914" s="64" t="s">
        <v>26</v>
      </c>
      <c r="J914" s="64" t="s">
        <v>16</v>
      </c>
      <c r="K914" s="64" t="s">
        <v>28</v>
      </c>
      <c r="L914" s="64">
        <v>3.4</v>
      </c>
      <c r="M914" s="66">
        <v>5.5136717571075029E-2</v>
      </c>
      <c r="N914" s="64">
        <v>24339.9</v>
      </c>
      <c r="O914" s="64" t="s">
        <v>18</v>
      </c>
    </row>
    <row r="915" spans="1:15" x14ac:dyDescent="0.3">
      <c r="A915" s="64">
        <v>914</v>
      </c>
      <c r="B915" s="64">
        <v>9038</v>
      </c>
      <c r="C915" s="64" t="s">
        <v>32</v>
      </c>
      <c r="D915" s="64" t="s">
        <v>14</v>
      </c>
      <c r="E915" s="64">
        <v>31747</v>
      </c>
      <c r="F915" s="64">
        <v>3</v>
      </c>
      <c r="G915" s="64">
        <v>95241</v>
      </c>
      <c r="H915" s="65">
        <v>45383</v>
      </c>
      <c r="I915" s="64" t="s">
        <v>33</v>
      </c>
      <c r="J915" s="64" t="s">
        <v>16</v>
      </c>
      <c r="K915" s="64" t="s">
        <v>28</v>
      </c>
      <c r="L915" s="64">
        <v>2.4</v>
      </c>
      <c r="M915" s="66">
        <v>0.2213723081446016</v>
      </c>
      <c r="N915" s="64">
        <v>7488.58</v>
      </c>
      <c r="O915" s="64" t="s">
        <v>18</v>
      </c>
    </row>
    <row r="916" spans="1:15" x14ac:dyDescent="0.3">
      <c r="A916" s="64">
        <v>915</v>
      </c>
      <c r="B916" s="64">
        <v>2068</v>
      </c>
      <c r="C916" s="64" t="s">
        <v>34</v>
      </c>
      <c r="D916" s="64" t="s">
        <v>25</v>
      </c>
      <c r="E916" s="64">
        <v>2883</v>
      </c>
      <c r="F916" s="64">
        <v>4</v>
      </c>
      <c r="G916" s="64">
        <v>11532</v>
      </c>
      <c r="H916" s="65">
        <v>45566</v>
      </c>
      <c r="I916" s="64" t="s">
        <v>33</v>
      </c>
      <c r="J916" s="64" t="s">
        <v>21</v>
      </c>
      <c r="K916" s="64" t="s">
        <v>28</v>
      </c>
      <c r="L916" s="64">
        <v>1.3</v>
      </c>
      <c r="M916" s="66">
        <v>0.17446670135275755</v>
      </c>
      <c r="N916" s="64">
        <v>1447.65</v>
      </c>
      <c r="O916" s="64" t="s">
        <v>18</v>
      </c>
    </row>
    <row r="917" spans="1:15" x14ac:dyDescent="0.3">
      <c r="A917" s="64">
        <v>916</v>
      </c>
      <c r="B917" s="64">
        <v>2727</v>
      </c>
      <c r="C917" s="64" t="s">
        <v>29</v>
      </c>
      <c r="D917" s="64" t="s">
        <v>20</v>
      </c>
      <c r="E917" s="64">
        <v>40733</v>
      </c>
      <c r="F917" s="64">
        <v>5</v>
      </c>
      <c r="G917" s="64">
        <v>203665</v>
      </c>
      <c r="H917" s="65">
        <v>45451</v>
      </c>
      <c r="I917" s="64" t="s">
        <v>15</v>
      </c>
      <c r="J917" s="64" t="s">
        <v>16</v>
      </c>
      <c r="K917" s="64" t="s">
        <v>28</v>
      </c>
      <c r="L917" s="64">
        <v>2.2000000000000002</v>
      </c>
      <c r="M917" s="66">
        <v>0.10701411631846414</v>
      </c>
      <c r="N917" s="64">
        <v>39304.47</v>
      </c>
      <c r="O917" s="64" t="s">
        <v>22</v>
      </c>
    </row>
    <row r="918" spans="1:15" x14ac:dyDescent="0.3">
      <c r="A918" s="64">
        <v>917</v>
      </c>
      <c r="B918" s="64">
        <v>3607</v>
      </c>
      <c r="C918" s="64" t="s">
        <v>13</v>
      </c>
      <c r="D918" s="64" t="s">
        <v>20</v>
      </c>
      <c r="E918" s="64">
        <v>9277</v>
      </c>
      <c r="F918" s="64">
        <v>1</v>
      </c>
      <c r="G918" s="64">
        <v>9277</v>
      </c>
      <c r="H918" s="65">
        <v>45616</v>
      </c>
      <c r="I918" s="64" t="s">
        <v>26</v>
      </c>
      <c r="J918" s="64" t="s">
        <v>16</v>
      </c>
      <c r="K918" s="64" t="s">
        <v>28</v>
      </c>
      <c r="L918" s="64">
        <v>4.0999999999999996</v>
      </c>
      <c r="M918" s="66">
        <v>9.0561603966799617E-2</v>
      </c>
      <c r="N918" s="64">
        <v>1942.96</v>
      </c>
      <c r="O918" s="64" t="s">
        <v>18</v>
      </c>
    </row>
    <row r="919" spans="1:15" x14ac:dyDescent="0.3">
      <c r="A919" s="64">
        <v>918</v>
      </c>
      <c r="B919" s="64">
        <v>2426</v>
      </c>
      <c r="C919" s="64" t="s">
        <v>19</v>
      </c>
      <c r="D919" s="64" t="s">
        <v>25</v>
      </c>
      <c r="E919" s="64">
        <v>44018</v>
      </c>
      <c r="F919" s="64">
        <v>3</v>
      </c>
      <c r="G919" s="64">
        <v>132054</v>
      </c>
      <c r="H919" s="65">
        <v>45576</v>
      </c>
      <c r="I919" s="64" t="s">
        <v>26</v>
      </c>
      <c r="J919" s="64" t="s">
        <v>21</v>
      </c>
      <c r="K919" s="64" t="s">
        <v>28</v>
      </c>
      <c r="L919" s="64">
        <v>3</v>
      </c>
      <c r="M919" s="66">
        <v>0.19852113529313764</v>
      </c>
      <c r="N919" s="64">
        <v>13400.69</v>
      </c>
      <c r="O919" s="64" t="s">
        <v>22</v>
      </c>
    </row>
    <row r="920" spans="1:15" x14ac:dyDescent="0.3">
      <c r="A920" s="64">
        <v>919</v>
      </c>
      <c r="B920" s="64">
        <v>2162</v>
      </c>
      <c r="C920" s="64" t="s">
        <v>32</v>
      </c>
      <c r="D920" s="64" t="s">
        <v>25</v>
      </c>
      <c r="E920" s="64">
        <v>8001</v>
      </c>
      <c r="F920" s="64">
        <v>4</v>
      </c>
      <c r="G920" s="64">
        <v>32004</v>
      </c>
      <c r="H920" s="65">
        <v>45443</v>
      </c>
      <c r="I920" s="64" t="s">
        <v>26</v>
      </c>
      <c r="J920" s="64" t="s">
        <v>21</v>
      </c>
      <c r="K920" s="64" t="s">
        <v>24</v>
      </c>
      <c r="L920" s="64">
        <v>2.9</v>
      </c>
      <c r="M920" s="66">
        <v>5.4623172103487064E-2</v>
      </c>
      <c r="N920" s="64">
        <v>7853.04</v>
      </c>
      <c r="O920" s="64" t="s">
        <v>18</v>
      </c>
    </row>
    <row r="921" spans="1:15" x14ac:dyDescent="0.3">
      <c r="A921" s="64">
        <v>920</v>
      </c>
      <c r="B921" s="64">
        <v>1306</v>
      </c>
      <c r="C921" s="64" t="s">
        <v>34</v>
      </c>
      <c r="D921" s="64" t="s">
        <v>20</v>
      </c>
      <c r="E921" s="64">
        <v>39608</v>
      </c>
      <c r="F921" s="64">
        <v>3</v>
      </c>
      <c r="G921" s="64">
        <v>118824</v>
      </c>
      <c r="H921" s="65">
        <v>45539</v>
      </c>
      <c r="I921" s="64" t="s">
        <v>15</v>
      </c>
      <c r="J921" s="64" t="s">
        <v>21</v>
      </c>
      <c r="K921" s="64" t="s">
        <v>17</v>
      </c>
      <c r="L921" s="64">
        <v>3.5</v>
      </c>
      <c r="M921" s="66">
        <v>0.25093213492223793</v>
      </c>
      <c r="N921" s="64">
        <v>5830.44</v>
      </c>
      <c r="O921" s="64" t="s">
        <v>18</v>
      </c>
    </row>
    <row r="922" spans="1:15" x14ac:dyDescent="0.3">
      <c r="A922" s="64">
        <v>921</v>
      </c>
      <c r="B922" s="64">
        <v>3403</v>
      </c>
      <c r="C922" s="64" t="s">
        <v>34</v>
      </c>
      <c r="D922" s="64" t="s">
        <v>20</v>
      </c>
      <c r="E922" s="64">
        <v>25385</v>
      </c>
      <c r="F922" s="64">
        <v>5</v>
      </c>
      <c r="G922" s="64">
        <v>126925</v>
      </c>
      <c r="H922" s="65">
        <v>45523</v>
      </c>
      <c r="I922" s="64" t="s">
        <v>33</v>
      </c>
      <c r="J922" s="64" t="s">
        <v>31</v>
      </c>
      <c r="K922" s="64" t="s">
        <v>28</v>
      </c>
      <c r="L922" s="64">
        <v>4.5</v>
      </c>
      <c r="M922" s="66">
        <v>0.13279023045105379</v>
      </c>
      <c r="N922" s="64">
        <v>21223.1</v>
      </c>
      <c r="O922" s="64" t="s">
        <v>22</v>
      </c>
    </row>
    <row r="923" spans="1:15" x14ac:dyDescent="0.3">
      <c r="A923" s="64">
        <v>922</v>
      </c>
      <c r="B923" s="64">
        <v>9628</v>
      </c>
      <c r="C923" s="64" t="s">
        <v>32</v>
      </c>
      <c r="D923" s="64" t="s">
        <v>14</v>
      </c>
      <c r="E923" s="64">
        <v>9539</v>
      </c>
      <c r="F923" s="64">
        <v>5</v>
      </c>
      <c r="G923" s="64">
        <v>47695</v>
      </c>
      <c r="H923" s="65">
        <v>45494</v>
      </c>
      <c r="I923" s="64" t="s">
        <v>33</v>
      </c>
      <c r="J923" s="64" t="s">
        <v>35</v>
      </c>
      <c r="K923" s="64" t="s">
        <v>28</v>
      </c>
      <c r="L923" s="64">
        <v>3.1</v>
      </c>
      <c r="M923" s="66">
        <v>6.6423105147290079E-2</v>
      </c>
      <c r="N923" s="64">
        <v>11140.45</v>
      </c>
      <c r="O923" s="64" t="s">
        <v>18</v>
      </c>
    </row>
    <row r="924" spans="1:15" x14ac:dyDescent="0.3">
      <c r="A924" s="64">
        <v>923</v>
      </c>
      <c r="B924" s="64">
        <v>2209</v>
      </c>
      <c r="C924" s="64" t="s">
        <v>19</v>
      </c>
      <c r="D924" s="64" t="s">
        <v>20</v>
      </c>
      <c r="E924" s="64">
        <v>49118</v>
      </c>
      <c r="F924" s="64">
        <v>5</v>
      </c>
      <c r="G924" s="64">
        <v>245590</v>
      </c>
      <c r="H924" s="65">
        <v>45482</v>
      </c>
      <c r="I924" s="64" t="s">
        <v>26</v>
      </c>
      <c r="J924" s="64" t="s">
        <v>16</v>
      </c>
      <c r="K924" s="64" t="s">
        <v>24</v>
      </c>
      <c r="L924" s="64">
        <v>4</v>
      </c>
      <c r="M924" s="66">
        <v>0.13891200781790791</v>
      </c>
      <c r="N924" s="64">
        <v>39561.599999999999</v>
      </c>
      <c r="O924" s="64" t="s">
        <v>22</v>
      </c>
    </row>
    <row r="925" spans="1:15" x14ac:dyDescent="0.3">
      <c r="A925" s="64">
        <v>924</v>
      </c>
      <c r="B925" s="64">
        <v>3735</v>
      </c>
      <c r="C925" s="64" t="s">
        <v>34</v>
      </c>
      <c r="D925" s="64" t="s">
        <v>20</v>
      </c>
      <c r="E925" s="64">
        <v>1038</v>
      </c>
      <c r="F925" s="64">
        <v>4</v>
      </c>
      <c r="G925" s="64">
        <v>4152</v>
      </c>
      <c r="H925" s="65">
        <v>45298</v>
      </c>
      <c r="I925" s="64" t="s">
        <v>15</v>
      </c>
      <c r="J925" s="64" t="s">
        <v>21</v>
      </c>
      <c r="K925" s="64" t="s">
        <v>17</v>
      </c>
      <c r="L925" s="64">
        <v>4.0999999999999996</v>
      </c>
      <c r="M925" s="66">
        <v>0.28467726396917148</v>
      </c>
      <c r="N925" s="64">
        <v>63.62</v>
      </c>
      <c r="O925" s="64" t="s">
        <v>18</v>
      </c>
    </row>
    <row r="926" spans="1:15" x14ac:dyDescent="0.3">
      <c r="A926" s="64">
        <v>925</v>
      </c>
      <c r="B926" s="64">
        <v>5243</v>
      </c>
      <c r="C926" s="64" t="s">
        <v>23</v>
      </c>
      <c r="D926" s="64" t="s">
        <v>20</v>
      </c>
      <c r="E926" s="64">
        <v>31234</v>
      </c>
      <c r="F926" s="64">
        <v>2</v>
      </c>
      <c r="G926" s="64">
        <v>62468</v>
      </c>
      <c r="H926" s="65">
        <v>45441</v>
      </c>
      <c r="I926" s="64" t="s">
        <v>30</v>
      </c>
      <c r="J926" s="64" t="s">
        <v>16</v>
      </c>
      <c r="K926" s="64" t="s">
        <v>24</v>
      </c>
      <c r="L926" s="64">
        <v>3</v>
      </c>
      <c r="M926" s="66">
        <v>0.19190033297048087</v>
      </c>
      <c r="N926" s="64">
        <v>6752.77</v>
      </c>
      <c r="O926" s="64" t="s">
        <v>22</v>
      </c>
    </row>
    <row r="927" spans="1:15" x14ac:dyDescent="0.3">
      <c r="A927" s="64">
        <v>926</v>
      </c>
      <c r="B927" s="64">
        <v>8146</v>
      </c>
      <c r="C927" s="64" t="s">
        <v>34</v>
      </c>
      <c r="D927" s="64" t="s">
        <v>14</v>
      </c>
      <c r="E927" s="64">
        <v>14599</v>
      </c>
      <c r="F927" s="64">
        <v>3</v>
      </c>
      <c r="G927" s="64">
        <v>43797</v>
      </c>
      <c r="H927" s="65">
        <v>45439</v>
      </c>
      <c r="I927" s="64" t="s">
        <v>26</v>
      </c>
      <c r="J927" s="64" t="s">
        <v>31</v>
      </c>
      <c r="K927" s="64" t="s">
        <v>28</v>
      </c>
      <c r="L927" s="64">
        <v>4.8</v>
      </c>
      <c r="M927" s="66">
        <v>0.29645660661689155</v>
      </c>
      <c r="N927" s="64">
        <v>155.19</v>
      </c>
      <c r="O927" s="64" t="s">
        <v>22</v>
      </c>
    </row>
    <row r="928" spans="1:15" x14ac:dyDescent="0.3">
      <c r="A928" s="64">
        <v>927</v>
      </c>
      <c r="B928" s="64">
        <v>7408</v>
      </c>
      <c r="C928" s="64" t="s">
        <v>34</v>
      </c>
      <c r="D928" s="64" t="s">
        <v>25</v>
      </c>
      <c r="E928" s="64">
        <v>13060</v>
      </c>
      <c r="F928" s="64">
        <v>1</v>
      </c>
      <c r="G928" s="64">
        <v>13060</v>
      </c>
      <c r="H928" s="65">
        <v>45497</v>
      </c>
      <c r="I928" s="64" t="s">
        <v>30</v>
      </c>
      <c r="J928" s="64" t="s">
        <v>27</v>
      </c>
      <c r="K928" s="64" t="s">
        <v>17</v>
      </c>
      <c r="L928" s="64">
        <v>4.8</v>
      </c>
      <c r="M928" s="66">
        <v>0.17201761102603372</v>
      </c>
      <c r="N928" s="64">
        <v>1671.45</v>
      </c>
      <c r="O928" s="64" t="s">
        <v>18</v>
      </c>
    </row>
    <row r="929" spans="1:15" x14ac:dyDescent="0.3">
      <c r="A929" s="64">
        <v>928</v>
      </c>
      <c r="B929" s="64">
        <v>6353</v>
      </c>
      <c r="C929" s="64" t="s">
        <v>23</v>
      </c>
      <c r="D929" s="64" t="s">
        <v>25</v>
      </c>
      <c r="E929" s="64">
        <v>44061</v>
      </c>
      <c r="F929" s="64">
        <v>5</v>
      </c>
      <c r="G929" s="64">
        <v>220305</v>
      </c>
      <c r="H929" s="65">
        <v>45391</v>
      </c>
      <c r="I929" s="64" t="s">
        <v>33</v>
      </c>
      <c r="J929" s="64" t="s">
        <v>31</v>
      </c>
      <c r="K929" s="64" t="s">
        <v>24</v>
      </c>
      <c r="L929" s="64">
        <v>4.9000000000000004</v>
      </c>
      <c r="M929" s="66">
        <v>6.6830212659721749E-2</v>
      </c>
      <c r="N929" s="64">
        <v>51368.47</v>
      </c>
      <c r="O929" s="64" t="s">
        <v>22</v>
      </c>
    </row>
    <row r="930" spans="1:15" x14ac:dyDescent="0.3">
      <c r="A930" s="64">
        <v>929</v>
      </c>
      <c r="B930" s="64">
        <v>1248</v>
      </c>
      <c r="C930" s="64" t="s">
        <v>13</v>
      </c>
      <c r="D930" s="64" t="s">
        <v>25</v>
      </c>
      <c r="E930" s="64">
        <v>24098</v>
      </c>
      <c r="F930" s="64">
        <v>4</v>
      </c>
      <c r="G930" s="64">
        <v>96392</v>
      </c>
      <c r="H930" s="65">
        <v>45363</v>
      </c>
      <c r="I930" s="64" t="s">
        <v>33</v>
      </c>
      <c r="J930" s="64" t="s">
        <v>27</v>
      </c>
      <c r="K930" s="64" t="s">
        <v>24</v>
      </c>
      <c r="L930" s="64">
        <v>1.9</v>
      </c>
      <c r="M930" s="66">
        <v>0.21508724790439041</v>
      </c>
      <c r="N930" s="64">
        <v>8184.91</v>
      </c>
      <c r="O930" s="64" t="s">
        <v>18</v>
      </c>
    </row>
    <row r="931" spans="1:15" x14ac:dyDescent="0.3">
      <c r="A931" s="64">
        <v>930</v>
      </c>
      <c r="B931" s="64">
        <v>2588</v>
      </c>
      <c r="C931" s="64" t="s">
        <v>19</v>
      </c>
      <c r="D931" s="64" t="s">
        <v>20</v>
      </c>
      <c r="E931" s="64">
        <v>30387</v>
      </c>
      <c r="F931" s="64">
        <v>4</v>
      </c>
      <c r="G931" s="64">
        <v>121548</v>
      </c>
      <c r="H931" s="65">
        <v>45545</v>
      </c>
      <c r="I931" s="64" t="s">
        <v>26</v>
      </c>
      <c r="J931" s="64" t="s">
        <v>35</v>
      </c>
      <c r="K931" s="64" t="s">
        <v>24</v>
      </c>
      <c r="L931" s="64">
        <v>3.3</v>
      </c>
      <c r="M931" s="66">
        <v>0.16272172310527527</v>
      </c>
      <c r="N931" s="64">
        <v>16685.900000000001</v>
      </c>
      <c r="O931" s="64" t="s">
        <v>22</v>
      </c>
    </row>
    <row r="932" spans="1:15" x14ac:dyDescent="0.3">
      <c r="A932" s="64">
        <v>931</v>
      </c>
      <c r="B932" s="64">
        <v>4754</v>
      </c>
      <c r="C932" s="64" t="s">
        <v>13</v>
      </c>
      <c r="D932" s="64" t="s">
        <v>14</v>
      </c>
      <c r="E932" s="64">
        <v>43896</v>
      </c>
      <c r="F932" s="64">
        <v>4</v>
      </c>
      <c r="G932" s="64">
        <v>175584</v>
      </c>
      <c r="H932" s="65">
        <v>45466</v>
      </c>
      <c r="I932" s="64" t="s">
        <v>33</v>
      </c>
      <c r="J932" s="64" t="s">
        <v>21</v>
      </c>
      <c r="K932" s="64" t="s">
        <v>24</v>
      </c>
      <c r="L932" s="64">
        <v>2.4</v>
      </c>
      <c r="M932" s="66">
        <v>9.9646949608164753E-2</v>
      </c>
      <c r="N932" s="64">
        <v>35178.79</v>
      </c>
      <c r="O932" s="64" t="s">
        <v>22</v>
      </c>
    </row>
    <row r="933" spans="1:15" x14ac:dyDescent="0.3">
      <c r="A933" s="64">
        <v>932</v>
      </c>
      <c r="B933" s="64">
        <v>3521</v>
      </c>
      <c r="C933" s="64" t="s">
        <v>34</v>
      </c>
      <c r="D933" s="64" t="s">
        <v>14</v>
      </c>
      <c r="E933" s="64">
        <v>48115</v>
      </c>
      <c r="F933" s="64">
        <v>3</v>
      </c>
      <c r="G933" s="64">
        <v>144345</v>
      </c>
      <c r="H933" s="65">
        <v>45494</v>
      </c>
      <c r="I933" s="64" t="s">
        <v>33</v>
      </c>
      <c r="J933" s="64" t="s">
        <v>27</v>
      </c>
      <c r="K933" s="64" t="s">
        <v>28</v>
      </c>
      <c r="L933" s="64">
        <v>2.9</v>
      </c>
      <c r="M933" s="66">
        <v>0.12305379472790884</v>
      </c>
      <c r="N933" s="64">
        <v>25541.3</v>
      </c>
      <c r="O933" s="64" t="s">
        <v>22</v>
      </c>
    </row>
    <row r="934" spans="1:15" x14ac:dyDescent="0.3">
      <c r="A934" s="64">
        <v>933</v>
      </c>
      <c r="B934" s="64">
        <v>9838</v>
      </c>
      <c r="C934" s="64" t="s">
        <v>13</v>
      </c>
      <c r="D934" s="64" t="s">
        <v>14</v>
      </c>
      <c r="E934" s="64">
        <v>1462</v>
      </c>
      <c r="F934" s="64">
        <v>3</v>
      </c>
      <c r="G934" s="64">
        <v>4386</v>
      </c>
      <c r="H934" s="65">
        <v>45466</v>
      </c>
      <c r="I934" s="64" t="s">
        <v>26</v>
      </c>
      <c r="J934" s="64" t="s">
        <v>35</v>
      </c>
      <c r="K934" s="64" t="s">
        <v>28</v>
      </c>
      <c r="L934" s="64">
        <v>3.8</v>
      </c>
      <c r="M934" s="66">
        <v>0.14286365709074328</v>
      </c>
      <c r="N934" s="64">
        <v>689.2</v>
      </c>
      <c r="O934" s="64" t="s">
        <v>22</v>
      </c>
    </row>
    <row r="935" spans="1:15" x14ac:dyDescent="0.3">
      <c r="A935" s="64">
        <v>934</v>
      </c>
      <c r="B935" s="64">
        <v>3947</v>
      </c>
      <c r="C935" s="64" t="s">
        <v>32</v>
      </c>
      <c r="D935" s="64" t="s">
        <v>20</v>
      </c>
      <c r="E935" s="64">
        <v>38177</v>
      </c>
      <c r="F935" s="64">
        <v>3</v>
      </c>
      <c r="G935" s="64">
        <v>114531</v>
      </c>
      <c r="H935" s="65">
        <v>45456</v>
      </c>
      <c r="I935" s="64" t="s">
        <v>15</v>
      </c>
      <c r="J935" s="64" t="s">
        <v>27</v>
      </c>
      <c r="K935" s="64" t="s">
        <v>17</v>
      </c>
      <c r="L935" s="64">
        <v>4.0999999999999996</v>
      </c>
      <c r="M935" s="66">
        <v>0.13010896613144041</v>
      </c>
      <c r="N935" s="64">
        <v>19457.79</v>
      </c>
      <c r="O935" s="64" t="s">
        <v>22</v>
      </c>
    </row>
    <row r="936" spans="1:15" x14ac:dyDescent="0.3">
      <c r="A936" s="64">
        <v>935</v>
      </c>
      <c r="B936" s="64">
        <v>6220</v>
      </c>
      <c r="C936" s="64" t="s">
        <v>23</v>
      </c>
      <c r="D936" s="64" t="s">
        <v>25</v>
      </c>
      <c r="E936" s="64">
        <v>5871</v>
      </c>
      <c r="F936" s="64">
        <v>3</v>
      </c>
      <c r="G936" s="64">
        <v>17613</v>
      </c>
      <c r="H936" s="65">
        <v>45490</v>
      </c>
      <c r="I936" s="64" t="s">
        <v>30</v>
      </c>
      <c r="J936" s="64" t="s">
        <v>16</v>
      </c>
      <c r="K936" s="64" t="s">
        <v>17</v>
      </c>
      <c r="L936" s="64">
        <v>4.5999999999999996</v>
      </c>
      <c r="M936" s="66">
        <v>0.28002271049792765</v>
      </c>
      <c r="N936" s="64">
        <v>351.86</v>
      </c>
      <c r="O936" s="64" t="s">
        <v>18</v>
      </c>
    </row>
    <row r="937" spans="1:15" x14ac:dyDescent="0.3">
      <c r="A937" s="64">
        <v>936</v>
      </c>
      <c r="B937" s="64">
        <v>1442</v>
      </c>
      <c r="C937" s="64" t="s">
        <v>13</v>
      </c>
      <c r="D937" s="64" t="s">
        <v>20</v>
      </c>
      <c r="E937" s="64">
        <v>2154</v>
      </c>
      <c r="F937" s="64">
        <v>4</v>
      </c>
      <c r="G937" s="64">
        <v>8616</v>
      </c>
      <c r="H937" s="65">
        <v>45521</v>
      </c>
      <c r="I937" s="64" t="s">
        <v>26</v>
      </c>
      <c r="J937" s="64" t="s">
        <v>35</v>
      </c>
      <c r="K937" s="64" t="s">
        <v>17</v>
      </c>
      <c r="L937" s="64">
        <v>1.7</v>
      </c>
      <c r="M937" s="66">
        <v>6.9953574744661101E-2</v>
      </c>
      <c r="N937" s="64">
        <v>1982.08</v>
      </c>
      <c r="O937" s="64" t="s">
        <v>18</v>
      </c>
    </row>
    <row r="938" spans="1:15" x14ac:dyDescent="0.3">
      <c r="A938" s="64">
        <v>937</v>
      </c>
      <c r="B938" s="64">
        <v>2284</v>
      </c>
      <c r="C938" s="64" t="s">
        <v>19</v>
      </c>
      <c r="D938" s="64" t="s">
        <v>25</v>
      </c>
      <c r="E938" s="64">
        <v>2246</v>
      </c>
      <c r="F938" s="64">
        <v>1</v>
      </c>
      <c r="G938" s="64">
        <v>2246</v>
      </c>
      <c r="H938" s="65">
        <v>45310</v>
      </c>
      <c r="I938" s="64" t="s">
        <v>30</v>
      </c>
      <c r="J938" s="64" t="s">
        <v>31</v>
      </c>
      <c r="K938" s="64" t="s">
        <v>17</v>
      </c>
      <c r="L938" s="64">
        <v>4.2</v>
      </c>
      <c r="M938" s="66">
        <v>8.7079252003561897E-2</v>
      </c>
      <c r="N938" s="64">
        <v>478.22</v>
      </c>
      <c r="O938" s="64" t="s">
        <v>18</v>
      </c>
    </row>
    <row r="939" spans="1:15" x14ac:dyDescent="0.3">
      <c r="A939" s="64">
        <v>938</v>
      </c>
      <c r="B939" s="64">
        <v>7313</v>
      </c>
      <c r="C939" s="64" t="s">
        <v>23</v>
      </c>
      <c r="D939" s="64" t="s">
        <v>14</v>
      </c>
      <c r="E939" s="64">
        <v>22004</v>
      </c>
      <c r="F939" s="64">
        <v>3</v>
      </c>
      <c r="G939" s="64">
        <v>66012</v>
      </c>
      <c r="H939" s="65">
        <v>45533</v>
      </c>
      <c r="I939" s="64" t="s">
        <v>26</v>
      </c>
      <c r="J939" s="64" t="s">
        <v>31</v>
      </c>
      <c r="K939" s="64" t="s">
        <v>17</v>
      </c>
      <c r="L939" s="64">
        <v>3.6</v>
      </c>
      <c r="M939" s="66">
        <v>9.3588438465733503E-2</v>
      </c>
      <c r="N939" s="64">
        <v>13625.64</v>
      </c>
      <c r="O939" s="64" t="s">
        <v>22</v>
      </c>
    </row>
    <row r="940" spans="1:15" x14ac:dyDescent="0.3">
      <c r="A940" s="64">
        <v>939</v>
      </c>
      <c r="B940" s="64">
        <v>6026</v>
      </c>
      <c r="C940" s="64" t="s">
        <v>23</v>
      </c>
      <c r="D940" s="64" t="s">
        <v>20</v>
      </c>
      <c r="E940" s="64">
        <v>32051</v>
      </c>
      <c r="F940" s="64">
        <v>1</v>
      </c>
      <c r="G940" s="64">
        <v>32051</v>
      </c>
      <c r="H940" s="65">
        <v>45323</v>
      </c>
      <c r="I940" s="64" t="s">
        <v>15</v>
      </c>
      <c r="J940" s="64" t="s">
        <v>16</v>
      </c>
      <c r="K940" s="64" t="s">
        <v>24</v>
      </c>
      <c r="L940" s="64">
        <v>3.9</v>
      </c>
      <c r="M940" s="66">
        <v>9.28679292377773E-2</v>
      </c>
      <c r="N940" s="64">
        <v>6638.79</v>
      </c>
      <c r="O940" s="64" t="s">
        <v>22</v>
      </c>
    </row>
    <row r="941" spans="1:15" x14ac:dyDescent="0.3">
      <c r="A941" s="64">
        <v>940</v>
      </c>
      <c r="B941" s="64">
        <v>6532</v>
      </c>
      <c r="C941" s="64" t="s">
        <v>13</v>
      </c>
      <c r="D941" s="64" t="s">
        <v>14</v>
      </c>
      <c r="E941" s="64">
        <v>44454</v>
      </c>
      <c r="F941" s="64">
        <v>5</v>
      </c>
      <c r="G941" s="64">
        <v>222270</v>
      </c>
      <c r="H941" s="65">
        <v>45368</v>
      </c>
      <c r="I941" s="64" t="s">
        <v>15</v>
      </c>
      <c r="J941" s="64" t="s">
        <v>16</v>
      </c>
      <c r="K941" s="64" t="s">
        <v>17</v>
      </c>
      <c r="L941" s="64">
        <v>1.1000000000000001</v>
      </c>
      <c r="M941" s="66">
        <v>0.26150443154721731</v>
      </c>
      <c r="N941" s="64">
        <v>8556.41</v>
      </c>
      <c r="O941" s="64" t="s">
        <v>18</v>
      </c>
    </row>
    <row r="942" spans="1:15" x14ac:dyDescent="0.3">
      <c r="A942" s="64">
        <v>941</v>
      </c>
      <c r="B942" s="64">
        <v>9654</v>
      </c>
      <c r="C942" s="64" t="s">
        <v>29</v>
      </c>
      <c r="D942" s="64" t="s">
        <v>25</v>
      </c>
      <c r="E942" s="64">
        <v>25070</v>
      </c>
      <c r="F942" s="64">
        <v>4</v>
      </c>
      <c r="G942" s="64">
        <v>100280</v>
      </c>
      <c r="H942" s="65">
        <v>45652</v>
      </c>
      <c r="I942" s="64" t="s">
        <v>33</v>
      </c>
      <c r="J942" s="64" t="s">
        <v>21</v>
      </c>
      <c r="K942" s="64" t="s">
        <v>24</v>
      </c>
      <c r="L942" s="64">
        <v>4.5999999999999996</v>
      </c>
      <c r="M942" s="66">
        <v>0.15478799361786996</v>
      </c>
      <c r="N942" s="64">
        <v>14561.86</v>
      </c>
      <c r="O942" s="64" t="s">
        <v>18</v>
      </c>
    </row>
    <row r="943" spans="1:15" x14ac:dyDescent="0.3">
      <c r="A943" s="64">
        <v>942</v>
      </c>
      <c r="B943" s="64">
        <v>3973</v>
      </c>
      <c r="C943" s="64" t="s">
        <v>13</v>
      </c>
      <c r="D943" s="64" t="s">
        <v>25</v>
      </c>
      <c r="E943" s="64">
        <v>25914</v>
      </c>
      <c r="F943" s="64">
        <v>1</v>
      </c>
      <c r="G943" s="64">
        <v>25914</v>
      </c>
      <c r="H943" s="65">
        <v>45426</v>
      </c>
      <c r="I943" s="64" t="s">
        <v>33</v>
      </c>
      <c r="J943" s="64" t="s">
        <v>35</v>
      </c>
      <c r="K943" s="64" t="s">
        <v>24</v>
      </c>
      <c r="L943" s="64">
        <v>2.7</v>
      </c>
      <c r="M943" s="66">
        <v>7.491278845411746E-2</v>
      </c>
      <c r="N943" s="64">
        <v>5832.91</v>
      </c>
      <c r="O943" s="64" t="s">
        <v>18</v>
      </c>
    </row>
    <row r="944" spans="1:15" x14ac:dyDescent="0.3">
      <c r="A944" s="64">
        <v>943</v>
      </c>
      <c r="B944" s="64">
        <v>9810</v>
      </c>
      <c r="C944" s="64" t="s">
        <v>32</v>
      </c>
      <c r="D944" s="64" t="s">
        <v>20</v>
      </c>
      <c r="E944" s="64">
        <v>11620</v>
      </c>
      <c r="F944" s="64">
        <v>5</v>
      </c>
      <c r="G944" s="64">
        <v>58100</v>
      </c>
      <c r="H944" s="65">
        <v>45356</v>
      </c>
      <c r="I944" s="64" t="s">
        <v>30</v>
      </c>
      <c r="J944" s="64" t="s">
        <v>27</v>
      </c>
      <c r="K944" s="64" t="s">
        <v>17</v>
      </c>
      <c r="L944" s="64">
        <v>1.9</v>
      </c>
      <c r="M944" s="66">
        <v>0.27169793459552494</v>
      </c>
      <c r="N944" s="64">
        <v>1644.35</v>
      </c>
      <c r="O944" s="64" t="s">
        <v>22</v>
      </c>
    </row>
    <row r="945" spans="1:15" x14ac:dyDescent="0.3">
      <c r="A945" s="64">
        <v>944</v>
      </c>
      <c r="B945" s="64">
        <v>7789</v>
      </c>
      <c r="C945" s="64" t="s">
        <v>29</v>
      </c>
      <c r="D945" s="64" t="s">
        <v>14</v>
      </c>
      <c r="E945" s="64">
        <v>8685</v>
      </c>
      <c r="F945" s="64">
        <v>2</v>
      </c>
      <c r="G945" s="64">
        <v>17370</v>
      </c>
      <c r="H945" s="65">
        <v>45485</v>
      </c>
      <c r="I945" s="64" t="s">
        <v>30</v>
      </c>
      <c r="J945" s="64" t="s">
        <v>21</v>
      </c>
      <c r="K945" s="64" t="s">
        <v>17</v>
      </c>
      <c r="L945" s="64">
        <v>3.1</v>
      </c>
      <c r="M945" s="66">
        <v>0.12162982153137594</v>
      </c>
      <c r="N945" s="64">
        <v>3098.29</v>
      </c>
      <c r="O945" s="64" t="s">
        <v>18</v>
      </c>
    </row>
    <row r="946" spans="1:15" x14ac:dyDescent="0.3">
      <c r="A946" s="64">
        <v>945</v>
      </c>
      <c r="B946" s="64">
        <v>4701</v>
      </c>
      <c r="C946" s="64" t="s">
        <v>29</v>
      </c>
      <c r="D946" s="64" t="s">
        <v>25</v>
      </c>
      <c r="E946" s="64">
        <v>32704</v>
      </c>
      <c r="F946" s="64">
        <v>2</v>
      </c>
      <c r="G946" s="64">
        <v>65408</v>
      </c>
      <c r="H946" s="65">
        <v>45334</v>
      </c>
      <c r="I946" s="64" t="s">
        <v>26</v>
      </c>
      <c r="J946" s="64" t="s">
        <v>16</v>
      </c>
      <c r="K946" s="64" t="s">
        <v>17</v>
      </c>
      <c r="L946" s="64">
        <v>1.9</v>
      </c>
      <c r="M946" s="66">
        <v>0.21696245107632095</v>
      </c>
      <c r="N946" s="64">
        <v>5431.32</v>
      </c>
      <c r="O946" s="64" t="s">
        <v>18</v>
      </c>
    </row>
    <row r="947" spans="1:15" x14ac:dyDescent="0.3">
      <c r="A947" s="64">
        <v>946</v>
      </c>
      <c r="B947" s="64">
        <v>1242</v>
      </c>
      <c r="C947" s="64" t="s">
        <v>29</v>
      </c>
      <c r="D947" s="64" t="s">
        <v>25</v>
      </c>
      <c r="E947" s="64">
        <v>7185</v>
      </c>
      <c r="F947" s="64">
        <v>2</v>
      </c>
      <c r="G947" s="64">
        <v>14370</v>
      </c>
      <c r="H947" s="65">
        <v>45458</v>
      </c>
      <c r="I947" s="64" t="s">
        <v>26</v>
      </c>
      <c r="J947" s="64" t="s">
        <v>21</v>
      </c>
      <c r="K947" s="64" t="s">
        <v>24</v>
      </c>
      <c r="L947" s="64">
        <v>4.5999999999999996</v>
      </c>
      <c r="M947" s="66">
        <v>0.12172372999304107</v>
      </c>
      <c r="N947" s="64">
        <v>2561.83</v>
      </c>
      <c r="O947" s="64" t="s">
        <v>18</v>
      </c>
    </row>
    <row r="948" spans="1:15" x14ac:dyDescent="0.3">
      <c r="A948" s="64">
        <v>947</v>
      </c>
      <c r="B948" s="64">
        <v>4271</v>
      </c>
      <c r="C948" s="64" t="s">
        <v>13</v>
      </c>
      <c r="D948" s="64" t="s">
        <v>25</v>
      </c>
      <c r="E948" s="64">
        <v>15836</v>
      </c>
      <c r="F948" s="64">
        <v>1</v>
      </c>
      <c r="G948" s="64">
        <v>15836</v>
      </c>
      <c r="H948" s="65">
        <v>45418</v>
      </c>
      <c r="I948" s="64" t="s">
        <v>26</v>
      </c>
      <c r="J948" s="64" t="s">
        <v>27</v>
      </c>
      <c r="K948" s="64" t="s">
        <v>28</v>
      </c>
      <c r="L948" s="64">
        <v>2.5</v>
      </c>
      <c r="M948" s="66">
        <v>9.7087016923465524E-2</v>
      </c>
      <c r="N948" s="64">
        <v>3213.33</v>
      </c>
      <c r="O948" s="64" t="s">
        <v>22</v>
      </c>
    </row>
    <row r="949" spans="1:15" x14ac:dyDescent="0.3">
      <c r="A949" s="64">
        <v>948</v>
      </c>
      <c r="B949" s="64">
        <v>3454</v>
      </c>
      <c r="C949" s="64" t="s">
        <v>19</v>
      </c>
      <c r="D949" s="64" t="s">
        <v>20</v>
      </c>
      <c r="E949" s="64">
        <v>25080</v>
      </c>
      <c r="F949" s="64">
        <v>5</v>
      </c>
      <c r="G949" s="64">
        <v>125400</v>
      </c>
      <c r="H949" s="65">
        <v>45478</v>
      </c>
      <c r="I949" s="64" t="s">
        <v>15</v>
      </c>
      <c r="J949" s="64" t="s">
        <v>21</v>
      </c>
      <c r="K949" s="64" t="s">
        <v>28</v>
      </c>
      <c r="L949" s="64">
        <v>4</v>
      </c>
      <c r="M949" s="66">
        <v>0.13634066985645932</v>
      </c>
      <c r="N949" s="64">
        <v>20522.88</v>
      </c>
      <c r="O949" s="64" t="s">
        <v>18</v>
      </c>
    </row>
    <row r="950" spans="1:15" x14ac:dyDescent="0.3">
      <c r="A950" s="64">
        <v>949</v>
      </c>
      <c r="B950" s="64">
        <v>2738</v>
      </c>
      <c r="C950" s="64" t="s">
        <v>23</v>
      </c>
      <c r="D950" s="64" t="s">
        <v>14</v>
      </c>
      <c r="E950" s="64">
        <v>14536</v>
      </c>
      <c r="F950" s="64">
        <v>5</v>
      </c>
      <c r="G950" s="64">
        <v>72680</v>
      </c>
      <c r="H950" s="65">
        <v>45446</v>
      </c>
      <c r="I950" s="64" t="s">
        <v>33</v>
      </c>
      <c r="J950" s="64" t="s">
        <v>35</v>
      </c>
      <c r="K950" s="64" t="s">
        <v>17</v>
      </c>
      <c r="L950" s="64">
        <v>1.7</v>
      </c>
      <c r="M950" s="66">
        <v>0.24646463951568517</v>
      </c>
      <c r="N950" s="64">
        <v>3890.95</v>
      </c>
      <c r="O950" s="64" t="s">
        <v>22</v>
      </c>
    </row>
    <row r="951" spans="1:15" x14ac:dyDescent="0.3">
      <c r="A951" s="64">
        <v>950</v>
      </c>
      <c r="B951" s="64">
        <v>4847</v>
      </c>
      <c r="C951" s="64" t="s">
        <v>32</v>
      </c>
      <c r="D951" s="64" t="s">
        <v>25</v>
      </c>
      <c r="E951" s="64">
        <v>7813</v>
      </c>
      <c r="F951" s="64">
        <v>5</v>
      </c>
      <c r="G951" s="64">
        <v>39065</v>
      </c>
      <c r="H951" s="65">
        <v>45469</v>
      </c>
      <c r="I951" s="64" t="s">
        <v>26</v>
      </c>
      <c r="J951" s="64" t="s">
        <v>21</v>
      </c>
      <c r="K951" s="64" t="s">
        <v>28</v>
      </c>
      <c r="L951" s="64">
        <v>4.4000000000000004</v>
      </c>
      <c r="M951" s="66">
        <v>0.11434276206322795</v>
      </c>
      <c r="N951" s="64">
        <v>7252.7</v>
      </c>
      <c r="O951" s="64" t="s">
        <v>22</v>
      </c>
    </row>
    <row r="952" spans="1:15" x14ac:dyDescent="0.3">
      <c r="A952" s="64">
        <v>951</v>
      </c>
      <c r="B952" s="64">
        <v>5192</v>
      </c>
      <c r="C952" s="64" t="s">
        <v>23</v>
      </c>
      <c r="D952" s="64" t="s">
        <v>25</v>
      </c>
      <c r="E952" s="64">
        <v>25277</v>
      </c>
      <c r="F952" s="64">
        <v>2</v>
      </c>
      <c r="G952" s="64">
        <v>50554</v>
      </c>
      <c r="H952" s="65">
        <v>45308</v>
      </c>
      <c r="I952" s="64" t="s">
        <v>15</v>
      </c>
      <c r="J952" s="64" t="s">
        <v>27</v>
      </c>
      <c r="K952" s="64" t="s">
        <v>17</v>
      </c>
      <c r="L952" s="64">
        <v>4.9000000000000004</v>
      </c>
      <c r="M952" s="66">
        <v>0.24123076314436048</v>
      </c>
      <c r="N952" s="64">
        <v>2971.02</v>
      </c>
      <c r="O952" s="64" t="s">
        <v>22</v>
      </c>
    </row>
    <row r="953" spans="1:15" x14ac:dyDescent="0.3">
      <c r="A953" s="64">
        <v>952</v>
      </c>
      <c r="B953" s="64">
        <v>9119</v>
      </c>
      <c r="C953" s="64" t="s">
        <v>29</v>
      </c>
      <c r="D953" s="64" t="s">
        <v>20</v>
      </c>
      <c r="E953" s="64">
        <v>31256</v>
      </c>
      <c r="F953" s="64">
        <v>1</v>
      </c>
      <c r="G953" s="64">
        <v>31256</v>
      </c>
      <c r="H953" s="65">
        <v>45596</v>
      </c>
      <c r="I953" s="64" t="s">
        <v>33</v>
      </c>
      <c r="J953" s="64" t="s">
        <v>35</v>
      </c>
      <c r="K953" s="64" t="s">
        <v>28</v>
      </c>
      <c r="L953" s="64">
        <v>2.2000000000000002</v>
      </c>
      <c r="M953" s="66">
        <v>0.26389493217302273</v>
      </c>
      <c r="N953" s="64">
        <v>1128.5</v>
      </c>
      <c r="O953" s="64" t="s">
        <v>22</v>
      </c>
    </row>
    <row r="954" spans="1:15" x14ac:dyDescent="0.3">
      <c r="A954" s="64">
        <v>953</v>
      </c>
      <c r="B954" s="64">
        <v>6013</v>
      </c>
      <c r="C954" s="64" t="s">
        <v>34</v>
      </c>
      <c r="D954" s="64" t="s">
        <v>14</v>
      </c>
      <c r="E954" s="64">
        <v>42788</v>
      </c>
      <c r="F954" s="64">
        <v>4</v>
      </c>
      <c r="G954" s="64">
        <v>171152</v>
      </c>
      <c r="H954" s="65">
        <v>45372</v>
      </c>
      <c r="I954" s="64" t="s">
        <v>33</v>
      </c>
      <c r="J954" s="64" t="s">
        <v>35</v>
      </c>
      <c r="K954" s="64" t="s">
        <v>17</v>
      </c>
      <c r="L954" s="64">
        <v>2</v>
      </c>
      <c r="M954" s="66">
        <v>9.3964487706833688E-2</v>
      </c>
      <c r="N954" s="64">
        <v>35263.39</v>
      </c>
      <c r="O954" s="64" t="s">
        <v>22</v>
      </c>
    </row>
    <row r="955" spans="1:15" x14ac:dyDescent="0.3">
      <c r="A955" s="64">
        <v>954</v>
      </c>
      <c r="B955" s="64">
        <v>9503</v>
      </c>
      <c r="C955" s="64" t="s">
        <v>29</v>
      </c>
      <c r="D955" s="64" t="s">
        <v>25</v>
      </c>
      <c r="E955" s="64">
        <v>42218</v>
      </c>
      <c r="F955" s="64">
        <v>5</v>
      </c>
      <c r="G955" s="64">
        <v>211090</v>
      </c>
      <c r="H955" s="65">
        <v>45573</v>
      </c>
      <c r="I955" s="64" t="s">
        <v>26</v>
      </c>
      <c r="J955" s="64" t="s">
        <v>21</v>
      </c>
      <c r="K955" s="64" t="s">
        <v>28</v>
      </c>
      <c r="L955" s="64">
        <v>3.3</v>
      </c>
      <c r="M955" s="66">
        <v>0.16025363588990479</v>
      </c>
      <c r="N955" s="64">
        <v>29499.06</v>
      </c>
      <c r="O955" s="64" t="s">
        <v>18</v>
      </c>
    </row>
    <row r="956" spans="1:15" x14ac:dyDescent="0.3">
      <c r="A956" s="64">
        <v>955</v>
      </c>
      <c r="B956" s="64">
        <v>6756</v>
      </c>
      <c r="C956" s="64" t="s">
        <v>29</v>
      </c>
      <c r="D956" s="64" t="s">
        <v>25</v>
      </c>
      <c r="E956" s="64">
        <v>35181</v>
      </c>
      <c r="F956" s="64">
        <v>2</v>
      </c>
      <c r="G956" s="64">
        <v>70362</v>
      </c>
      <c r="H956" s="65">
        <v>45396</v>
      </c>
      <c r="I956" s="64" t="s">
        <v>30</v>
      </c>
      <c r="J956" s="64" t="s">
        <v>31</v>
      </c>
      <c r="K956" s="64" t="s">
        <v>28</v>
      </c>
      <c r="L956" s="64">
        <v>2.2000000000000002</v>
      </c>
      <c r="M956" s="66">
        <v>6.2566868480145532E-2</v>
      </c>
      <c r="N956" s="64">
        <v>16706.27</v>
      </c>
      <c r="O956" s="64" t="s">
        <v>18</v>
      </c>
    </row>
    <row r="957" spans="1:15" x14ac:dyDescent="0.3">
      <c r="A957" s="64">
        <v>956</v>
      </c>
      <c r="B957" s="64">
        <v>9051</v>
      </c>
      <c r="C957" s="64" t="s">
        <v>32</v>
      </c>
      <c r="D957" s="64" t="s">
        <v>14</v>
      </c>
      <c r="E957" s="64">
        <v>7073</v>
      </c>
      <c r="F957" s="64">
        <v>2</v>
      </c>
      <c r="G957" s="64">
        <v>14146</v>
      </c>
      <c r="H957" s="65">
        <v>45608</v>
      </c>
      <c r="I957" s="64" t="s">
        <v>15</v>
      </c>
      <c r="J957" s="64" t="s">
        <v>31</v>
      </c>
      <c r="K957" s="64" t="s">
        <v>28</v>
      </c>
      <c r="L957" s="64">
        <v>2.2999999999999998</v>
      </c>
      <c r="M957" s="66">
        <v>0.12561925632687684</v>
      </c>
      <c r="N957" s="64">
        <v>2466.79</v>
      </c>
      <c r="O957" s="64" t="s">
        <v>22</v>
      </c>
    </row>
    <row r="958" spans="1:15" x14ac:dyDescent="0.3">
      <c r="A958" s="64">
        <v>957</v>
      </c>
      <c r="B958" s="64">
        <v>8519</v>
      </c>
      <c r="C958" s="64" t="s">
        <v>32</v>
      </c>
      <c r="D958" s="64" t="s">
        <v>20</v>
      </c>
      <c r="E958" s="64">
        <v>6958</v>
      </c>
      <c r="F958" s="64">
        <v>2</v>
      </c>
      <c r="G958" s="64">
        <v>13916</v>
      </c>
      <c r="H958" s="65">
        <v>45307</v>
      </c>
      <c r="I958" s="64" t="s">
        <v>30</v>
      </c>
      <c r="J958" s="64" t="s">
        <v>16</v>
      </c>
      <c r="K958" s="64" t="s">
        <v>24</v>
      </c>
      <c r="L958" s="64">
        <v>1.3</v>
      </c>
      <c r="M958" s="66">
        <v>8.2853549870652493E-2</v>
      </c>
      <c r="N958" s="64">
        <v>3021.81</v>
      </c>
      <c r="O958" s="64" t="s">
        <v>22</v>
      </c>
    </row>
    <row r="959" spans="1:15" x14ac:dyDescent="0.3">
      <c r="A959" s="64">
        <v>958</v>
      </c>
      <c r="B959" s="64">
        <v>1317</v>
      </c>
      <c r="C959" s="64" t="s">
        <v>19</v>
      </c>
      <c r="D959" s="64" t="s">
        <v>14</v>
      </c>
      <c r="E959" s="64">
        <v>3857</v>
      </c>
      <c r="F959" s="64">
        <v>5</v>
      </c>
      <c r="G959" s="64">
        <v>19285</v>
      </c>
      <c r="H959" s="65">
        <v>45476</v>
      </c>
      <c r="I959" s="64" t="s">
        <v>33</v>
      </c>
      <c r="J959" s="64" t="s">
        <v>21</v>
      </c>
      <c r="K959" s="64" t="s">
        <v>17</v>
      </c>
      <c r="L959" s="64">
        <v>4</v>
      </c>
      <c r="M959" s="66">
        <v>0.29494944257194711</v>
      </c>
      <c r="N959" s="64">
        <v>97.4</v>
      </c>
      <c r="O959" s="64" t="s">
        <v>18</v>
      </c>
    </row>
    <row r="960" spans="1:15" x14ac:dyDescent="0.3">
      <c r="A960" s="64">
        <v>959</v>
      </c>
      <c r="B960" s="64">
        <v>9716</v>
      </c>
      <c r="C960" s="64" t="s">
        <v>19</v>
      </c>
      <c r="D960" s="64" t="s">
        <v>20</v>
      </c>
      <c r="E960" s="64">
        <v>14078</v>
      </c>
      <c r="F960" s="64">
        <v>1</v>
      </c>
      <c r="G960" s="64">
        <v>14078</v>
      </c>
      <c r="H960" s="65">
        <v>45569</v>
      </c>
      <c r="I960" s="64" t="s">
        <v>15</v>
      </c>
      <c r="J960" s="64" t="s">
        <v>16</v>
      </c>
      <c r="K960" s="64" t="s">
        <v>24</v>
      </c>
      <c r="L960" s="64">
        <v>2.5</v>
      </c>
      <c r="M960" s="66">
        <v>0.18348913197897426</v>
      </c>
      <c r="N960" s="64">
        <v>1640.24</v>
      </c>
      <c r="O960" s="64" t="s">
        <v>18</v>
      </c>
    </row>
    <row r="961" spans="1:15" x14ac:dyDescent="0.3">
      <c r="A961" s="64">
        <v>960</v>
      </c>
      <c r="B961" s="64">
        <v>9897</v>
      </c>
      <c r="C961" s="64" t="s">
        <v>23</v>
      </c>
      <c r="D961" s="64" t="s">
        <v>25</v>
      </c>
      <c r="E961" s="64">
        <v>32842</v>
      </c>
      <c r="F961" s="64">
        <v>3</v>
      </c>
      <c r="G961" s="64">
        <v>98526</v>
      </c>
      <c r="H961" s="65">
        <v>45339</v>
      </c>
      <c r="I961" s="64" t="s">
        <v>26</v>
      </c>
      <c r="J961" s="64" t="s">
        <v>21</v>
      </c>
      <c r="K961" s="64" t="s">
        <v>28</v>
      </c>
      <c r="L961" s="64">
        <v>4.4000000000000004</v>
      </c>
      <c r="M961" s="66">
        <v>0.25958376469155348</v>
      </c>
      <c r="N961" s="64">
        <v>3982.05</v>
      </c>
      <c r="O961" s="64" t="s">
        <v>18</v>
      </c>
    </row>
    <row r="962" spans="1:15" x14ac:dyDescent="0.3">
      <c r="A962" s="64">
        <v>961</v>
      </c>
      <c r="B962" s="64">
        <v>9369</v>
      </c>
      <c r="C962" s="64" t="s">
        <v>13</v>
      </c>
      <c r="D962" s="64" t="s">
        <v>20</v>
      </c>
      <c r="E962" s="64">
        <v>8520</v>
      </c>
      <c r="F962" s="64">
        <v>5</v>
      </c>
      <c r="G962" s="64">
        <v>42600</v>
      </c>
      <c r="H962" s="65">
        <v>45546</v>
      </c>
      <c r="I962" s="64" t="s">
        <v>30</v>
      </c>
      <c r="J962" s="64" t="s">
        <v>27</v>
      </c>
      <c r="K962" s="64" t="s">
        <v>24</v>
      </c>
      <c r="L962" s="64">
        <v>1.9</v>
      </c>
      <c r="M962" s="66">
        <v>0.11077746478873239</v>
      </c>
      <c r="N962" s="64">
        <v>8060.88</v>
      </c>
      <c r="O962" s="64" t="s">
        <v>18</v>
      </c>
    </row>
    <row r="963" spans="1:15" x14ac:dyDescent="0.3">
      <c r="A963" s="64">
        <v>962</v>
      </c>
      <c r="B963" s="64">
        <v>7841</v>
      </c>
      <c r="C963" s="64" t="s">
        <v>13</v>
      </c>
      <c r="D963" s="64" t="s">
        <v>20</v>
      </c>
      <c r="E963" s="64">
        <v>9157</v>
      </c>
      <c r="F963" s="64">
        <v>5</v>
      </c>
      <c r="G963" s="64">
        <v>45785</v>
      </c>
      <c r="H963" s="65">
        <v>45637</v>
      </c>
      <c r="I963" s="64" t="s">
        <v>33</v>
      </c>
      <c r="J963" s="64" t="s">
        <v>35</v>
      </c>
      <c r="K963" s="64" t="s">
        <v>24</v>
      </c>
      <c r="L963" s="64">
        <v>4.7</v>
      </c>
      <c r="M963" s="66">
        <v>9.2832587091842306E-2</v>
      </c>
      <c r="N963" s="64">
        <v>9485.16</v>
      </c>
      <c r="O963" s="64" t="s">
        <v>22</v>
      </c>
    </row>
    <row r="964" spans="1:15" x14ac:dyDescent="0.3">
      <c r="A964" s="64">
        <v>963</v>
      </c>
      <c r="B964" s="64">
        <v>8009</v>
      </c>
      <c r="C964" s="64" t="s">
        <v>34</v>
      </c>
      <c r="D964" s="64" t="s">
        <v>14</v>
      </c>
      <c r="E964" s="64">
        <v>22813</v>
      </c>
      <c r="F964" s="64">
        <v>2</v>
      </c>
      <c r="G964" s="64">
        <v>45626</v>
      </c>
      <c r="H964" s="65">
        <v>45575</v>
      </c>
      <c r="I964" s="64" t="s">
        <v>30</v>
      </c>
      <c r="J964" s="64" t="s">
        <v>21</v>
      </c>
      <c r="K964" s="64" t="s">
        <v>17</v>
      </c>
      <c r="L964" s="64">
        <v>4.9000000000000004</v>
      </c>
      <c r="M964" s="66">
        <v>0.1763284092403454</v>
      </c>
      <c r="N964" s="64">
        <v>5642.64</v>
      </c>
      <c r="O964" s="64" t="s">
        <v>22</v>
      </c>
    </row>
    <row r="965" spans="1:15" x14ac:dyDescent="0.3">
      <c r="A965" s="64">
        <v>964</v>
      </c>
      <c r="B965" s="64">
        <v>4104</v>
      </c>
      <c r="C965" s="64" t="s">
        <v>32</v>
      </c>
      <c r="D965" s="64" t="s">
        <v>20</v>
      </c>
      <c r="E965" s="64">
        <v>41994</v>
      </c>
      <c r="F965" s="64">
        <v>2</v>
      </c>
      <c r="G965" s="64">
        <v>83988</v>
      </c>
      <c r="H965" s="65">
        <v>45446</v>
      </c>
      <c r="I965" s="64" t="s">
        <v>26</v>
      </c>
      <c r="J965" s="64" t="s">
        <v>16</v>
      </c>
      <c r="K965" s="64" t="s">
        <v>28</v>
      </c>
      <c r="L965" s="64">
        <v>3.9</v>
      </c>
      <c r="M965" s="66">
        <v>6.1195646997190073E-2</v>
      </c>
      <c r="N965" s="64">
        <v>20056.7</v>
      </c>
      <c r="O965" s="64" t="s">
        <v>22</v>
      </c>
    </row>
    <row r="966" spans="1:15" x14ac:dyDescent="0.3">
      <c r="A966" s="64">
        <v>965</v>
      </c>
      <c r="B966" s="64">
        <v>7568</v>
      </c>
      <c r="C966" s="64" t="s">
        <v>32</v>
      </c>
      <c r="D966" s="64" t="s">
        <v>14</v>
      </c>
      <c r="E966" s="64">
        <v>37649</v>
      </c>
      <c r="F966" s="64">
        <v>2</v>
      </c>
      <c r="G966" s="64">
        <v>75298</v>
      </c>
      <c r="H966" s="65">
        <v>45300</v>
      </c>
      <c r="I966" s="64" t="s">
        <v>30</v>
      </c>
      <c r="J966" s="64" t="s">
        <v>35</v>
      </c>
      <c r="K966" s="64" t="s">
        <v>24</v>
      </c>
      <c r="L966" s="64">
        <v>4.0999999999999996</v>
      </c>
      <c r="M966" s="66">
        <v>0.29421910276501367</v>
      </c>
      <c r="N966" s="64">
        <v>435.29</v>
      </c>
      <c r="O966" s="64" t="s">
        <v>22</v>
      </c>
    </row>
    <row r="967" spans="1:15" x14ac:dyDescent="0.3">
      <c r="A967" s="64">
        <v>966</v>
      </c>
      <c r="B967" s="64">
        <v>5446</v>
      </c>
      <c r="C967" s="64" t="s">
        <v>34</v>
      </c>
      <c r="D967" s="64" t="s">
        <v>14</v>
      </c>
      <c r="E967" s="64">
        <v>35072</v>
      </c>
      <c r="F967" s="64">
        <v>5</v>
      </c>
      <c r="G967" s="64">
        <v>175360</v>
      </c>
      <c r="H967" s="65">
        <v>45471</v>
      </c>
      <c r="I967" s="64" t="s">
        <v>33</v>
      </c>
      <c r="J967" s="64" t="s">
        <v>27</v>
      </c>
      <c r="K967" s="64" t="s">
        <v>24</v>
      </c>
      <c r="L967" s="64">
        <v>1.6</v>
      </c>
      <c r="M967" s="66">
        <v>0.16601277372262774</v>
      </c>
      <c r="N967" s="64">
        <v>23496</v>
      </c>
      <c r="O967" s="64" t="s">
        <v>22</v>
      </c>
    </row>
    <row r="968" spans="1:15" x14ac:dyDescent="0.3">
      <c r="A968" s="64">
        <v>967</v>
      </c>
      <c r="B968" s="64">
        <v>5982</v>
      </c>
      <c r="C968" s="64" t="s">
        <v>29</v>
      </c>
      <c r="D968" s="64" t="s">
        <v>25</v>
      </c>
      <c r="E968" s="64">
        <v>9951</v>
      </c>
      <c r="F968" s="64">
        <v>2</v>
      </c>
      <c r="G968" s="64">
        <v>19902</v>
      </c>
      <c r="H968" s="65">
        <v>45574</v>
      </c>
      <c r="I968" s="64" t="s">
        <v>33</v>
      </c>
      <c r="J968" s="64" t="s">
        <v>16</v>
      </c>
      <c r="K968" s="64" t="s">
        <v>24</v>
      </c>
      <c r="L968" s="64">
        <v>3.3</v>
      </c>
      <c r="M968" s="66">
        <v>5.2939905537131939E-2</v>
      </c>
      <c r="N968" s="64">
        <v>4916.99</v>
      </c>
      <c r="O968" s="64" t="s">
        <v>22</v>
      </c>
    </row>
    <row r="969" spans="1:15" x14ac:dyDescent="0.3">
      <c r="A969" s="64">
        <v>968</v>
      </c>
      <c r="B969" s="64">
        <v>8725</v>
      </c>
      <c r="C969" s="64" t="s">
        <v>34</v>
      </c>
      <c r="D969" s="64" t="s">
        <v>25</v>
      </c>
      <c r="E969" s="64">
        <v>37540</v>
      </c>
      <c r="F969" s="64">
        <v>2</v>
      </c>
      <c r="G969" s="64">
        <v>75080</v>
      </c>
      <c r="H969" s="65">
        <v>45628</v>
      </c>
      <c r="I969" s="64" t="s">
        <v>15</v>
      </c>
      <c r="J969" s="64" t="s">
        <v>35</v>
      </c>
      <c r="K969" s="64" t="s">
        <v>24</v>
      </c>
      <c r="L969" s="64">
        <v>1.6</v>
      </c>
      <c r="M969" s="66">
        <v>0.10551944592434735</v>
      </c>
      <c r="N969" s="64">
        <v>14601.6</v>
      </c>
      <c r="O969" s="64" t="s">
        <v>18</v>
      </c>
    </row>
    <row r="970" spans="1:15" x14ac:dyDescent="0.3">
      <c r="A970" s="64">
        <v>969</v>
      </c>
      <c r="B970" s="64">
        <v>2753</v>
      </c>
      <c r="C970" s="64" t="s">
        <v>19</v>
      </c>
      <c r="D970" s="64" t="s">
        <v>20</v>
      </c>
      <c r="E970" s="64">
        <v>6208</v>
      </c>
      <c r="F970" s="64">
        <v>5</v>
      </c>
      <c r="G970" s="64">
        <v>31040</v>
      </c>
      <c r="H970" s="65">
        <v>45377</v>
      </c>
      <c r="I970" s="64" t="s">
        <v>15</v>
      </c>
      <c r="J970" s="64" t="s">
        <v>21</v>
      </c>
      <c r="K970" s="64" t="s">
        <v>28</v>
      </c>
      <c r="L970" s="64">
        <v>2.5</v>
      </c>
      <c r="M970" s="66">
        <v>0.16912338917525774</v>
      </c>
      <c r="N970" s="64">
        <v>4062.41</v>
      </c>
      <c r="O970" s="64" t="s">
        <v>18</v>
      </c>
    </row>
    <row r="971" spans="1:15" x14ac:dyDescent="0.3">
      <c r="A971" s="64">
        <v>970</v>
      </c>
      <c r="B971" s="64">
        <v>8145</v>
      </c>
      <c r="C971" s="64" t="s">
        <v>13</v>
      </c>
      <c r="D971" s="64" t="s">
        <v>25</v>
      </c>
      <c r="E971" s="64">
        <v>7870</v>
      </c>
      <c r="F971" s="64">
        <v>1</v>
      </c>
      <c r="G971" s="64">
        <v>7870</v>
      </c>
      <c r="H971" s="65">
        <v>45456</v>
      </c>
      <c r="I971" s="64" t="s">
        <v>26</v>
      </c>
      <c r="J971" s="64" t="s">
        <v>16</v>
      </c>
      <c r="K971" s="64" t="s">
        <v>17</v>
      </c>
      <c r="L971" s="64">
        <v>3.8</v>
      </c>
      <c r="M971" s="66">
        <v>0.22690724269377383</v>
      </c>
      <c r="N971" s="64">
        <v>575.24</v>
      </c>
      <c r="O971" s="64" t="s">
        <v>18</v>
      </c>
    </row>
    <row r="972" spans="1:15" x14ac:dyDescent="0.3">
      <c r="A972" s="64">
        <v>971</v>
      </c>
      <c r="B972" s="64">
        <v>6790</v>
      </c>
      <c r="C972" s="64" t="s">
        <v>19</v>
      </c>
      <c r="D972" s="64" t="s">
        <v>25</v>
      </c>
      <c r="E972" s="64">
        <v>35180</v>
      </c>
      <c r="F972" s="64">
        <v>1</v>
      </c>
      <c r="G972" s="64">
        <v>35180</v>
      </c>
      <c r="H972" s="65">
        <v>45372</v>
      </c>
      <c r="I972" s="64" t="s">
        <v>33</v>
      </c>
      <c r="J972" s="64" t="s">
        <v>35</v>
      </c>
      <c r="K972" s="64" t="s">
        <v>17</v>
      </c>
      <c r="L972" s="64">
        <v>1.8</v>
      </c>
      <c r="M972" s="66">
        <v>0.18587919272313813</v>
      </c>
      <c r="N972" s="64">
        <v>4014.77</v>
      </c>
      <c r="O972" s="64" t="s">
        <v>22</v>
      </c>
    </row>
    <row r="973" spans="1:15" x14ac:dyDescent="0.3">
      <c r="A973" s="64">
        <v>972</v>
      </c>
      <c r="B973" s="64">
        <v>7730</v>
      </c>
      <c r="C973" s="64" t="s">
        <v>19</v>
      </c>
      <c r="D973" s="64" t="s">
        <v>25</v>
      </c>
      <c r="E973" s="64">
        <v>46028</v>
      </c>
      <c r="F973" s="64">
        <v>1</v>
      </c>
      <c r="G973" s="64">
        <v>46028</v>
      </c>
      <c r="H973" s="65">
        <v>45482</v>
      </c>
      <c r="I973" s="64" t="s">
        <v>15</v>
      </c>
      <c r="J973" s="64" t="s">
        <v>27</v>
      </c>
      <c r="K973" s="64" t="s">
        <v>17</v>
      </c>
      <c r="L973" s="64">
        <v>4.7</v>
      </c>
      <c r="M973" s="66">
        <v>0.16879225688711219</v>
      </c>
      <c r="N973" s="64">
        <v>6039.23</v>
      </c>
      <c r="O973" s="64" t="s">
        <v>22</v>
      </c>
    </row>
    <row r="974" spans="1:15" x14ac:dyDescent="0.3">
      <c r="A974" s="64">
        <v>973</v>
      </c>
      <c r="B974" s="64">
        <v>4523</v>
      </c>
      <c r="C974" s="64" t="s">
        <v>23</v>
      </c>
      <c r="D974" s="64" t="s">
        <v>25</v>
      </c>
      <c r="E974" s="64">
        <v>41593</v>
      </c>
      <c r="F974" s="64">
        <v>2</v>
      </c>
      <c r="G974" s="64">
        <v>83186</v>
      </c>
      <c r="H974" s="65">
        <v>45301</v>
      </c>
      <c r="I974" s="64" t="s">
        <v>33</v>
      </c>
      <c r="J974" s="64" t="s">
        <v>27</v>
      </c>
      <c r="K974" s="64" t="s">
        <v>28</v>
      </c>
      <c r="L974" s="64">
        <v>3.3</v>
      </c>
      <c r="M974" s="66">
        <v>0.26385641814728439</v>
      </c>
      <c r="N974" s="64">
        <v>3006.64</v>
      </c>
      <c r="O974" s="64" t="s">
        <v>18</v>
      </c>
    </row>
    <row r="975" spans="1:15" x14ac:dyDescent="0.3">
      <c r="A975" s="64">
        <v>974</v>
      </c>
      <c r="B975" s="64">
        <v>8101</v>
      </c>
      <c r="C975" s="64" t="s">
        <v>34</v>
      </c>
      <c r="D975" s="64" t="s">
        <v>20</v>
      </c>
      <c r="E975" s="64">
        <v>14534</v>
      </c>
      <c r="F975" s="64">
        <v>5</v>
      </c>
      <c r="G975" s="64">
        <v>72670</v>
      </c>
      <c r="H975" s="65">
        <v>45384</v>
      </c>
      <c r="I975" s="64" t="s">
        <v>15</v>
      </c>
      <c r="J975" s="64" t="s">
        <v>35</v>
      </c>
      <c r="K975" s="64" t="s">
        <v>17</v>
      </c>
      <c r="L975" s="64">
        <v>3.5</v>
      </c>
      <c r="M975" s="66">
        <v>0.28031113251685702</v>
      </c>
      <c r="N975" s="64">
        <v>1430.79</v>
      </c>
      <c r="O975" s="64" t="s">
        <v>18</v>
      </c>
    </row>
    <row r="976" spans="1:15" x14ac:dyDescent="0.3">
      <c r="A976" s="64">
        <v>975</v>
      </c>
      <c r="B976" s="64">
        <v>6542</v>
      </c>
      <c r="C976" s="64" t="s">
        <v>19</v>
      </c>
      <c r="D976" s="64" t="s">
        <v>25</v>
      </c>
      <c r="E976" s="64">
        <v>5341</v>
      </c>
      <c r="F976" s="64">
        <v>1</v>
      </c>
      <c r="G976" s="64">
        <v>5341</v>
      </c>
      <c r="H976" s="65">
        <v>45432</v>
      </c>
      <c r="I976" s="64" t="s">
        <v>26</v>
      </c>
      <c r="J976" s="64" t="s">
        <v>31</v>
      </c>
      <c r="K976" s="64" t="s">
        <v>17</v>
      </c>
      <c r="L976" s="64">
        <v>2.9</v>
      </c>
      <c r="M976" s="66">
        <v>0.17181052237408725</v>
      </c>
      <c r="N976" s="64">
        <v>684.66</v>
      </c>
      <c r="O976" s="64" t="s">
        <v>22</v>
      </c>
    </row>
    <row r="977" spans="1:15" x14ac:dyDescent="0.3">
      <c r="A977" s="64">
        <v>976</v>
      </c>
      <c r="B977" s="64">
        <v>1942</v>
      </c>
      <c r="C977" s="64" t="s">
        <v>34</v>
      </c>
      <c r="D977" s="64" t="s">
        <v>20</v>
      </c>
      <c r="E977" s="64">
        <v>43514</v>
      </c>
      <c r="F977" s="64">
        <v>2</v>
      </c>
      <c r="G977" s="64">
        <v>87028</v>
      </c>
      <c r="H977" s="65">
        <v>45484</v>
      </c>
      <c r="I977" s="64" t="s">
        <v>26</v>
      </c>
      <c r="J977" s="64" t="s">
        <v>21</v>
      </c>
      <c r="K977" s="64" t="s">
        <v>24</v>
      </c>
      <c r="L977" s="64">
        <v>3.6</v>
      </c>
      <c r="M977" s="66">
        <v>0.24359263685250726</v>
      </c>
      <c r="N977" s="64">
        <v>4909.0200000000004</v>
      </c>
      <c r="O977" s="64" t="s">
        <v>18</v>
      </c>
    </row>
    <row r="978" spans="1:15" x14ac:dyDescent="0.3">
      <c r="A978" s="64">
        <v>977</v>
      </c>
      <c r="B978" s="64">
        <v>7439</v>
      </c>
      <c r="C978" s="64" t="s">
        <v>32</v>
      </c>
      <c r="D978" s="64" t="s">
        <v>14</v>
      </c>
      <c r="E978" s="64">
        <v>21556</v>
      </c>
      <c r="F978" s="64">
        <v>2</v>
      </c>
      <c r="G978" s="64">
        <v>43112</v>
      </c>
      <c r="H978" s="65">
        <v>45450</v>
      </c>
      <c r="I978" s="64" t="s">
        <v>33</v>
      </c>
      <c r="J978" s="64" t="s">
        <v>31</v>
      </c>
      <c r="K978" s="64" t="s">
        <v>17</v>
      </c>
      <c r="L978" s="64">
        <v>1.8</v>
      </c>
      <c r="M978" s="66">
        <v>0.11957946743366117</v>
      </c>
      <c r="N978" s="64">
        <v>7778.29</v>
      </c>
      <c r="O978" s="64" t="s">
        <v>18</v>
      </c>
    </row>
    <row r="979" spans="1:15" x14ac:dyDescent="0.3">
      <c r="A979" s="64">
        <v>978</v>
      </c>
      <c r="B979" s="64">
        <v>1005</v>
      </c>
      <c r="C979" s="64" t="s">
        <v>29</v>
      </c>
      <c r="D979" s="64" t="s">
        <v>20</v>
      </c>
      <c r="E979" s="64">
        <v>16381</v>
      </c>
      <c r="F979" s="64">
        <v>1</v>
      </c>
      <c r="G979" s="64">
        <v>16381</v>
      </c>
      <c r="H979" s="65">
        <v>45308</v>
      </c>
      <c r="I979" s="64" t="s">
        <v>15</v>
      </c>
      <c r="J979" s="64" t="s">
        <v>21</v>
      </c>
      <c r="K979" s="64" t="s">
        <v>28</v>
      </c>
      <c r="L979" s="64">
        <v>4.0999999999999996</v>
      </c>
      <c r="M979" s="66">
        <v>0.13193638971979732</v>
      </c>
      <c r="N979" s="64">
        <v>2753.05</v>
      </c>
      <c r="O979" s="64" t="s">
        <v>22</v>
      </c>
    </row>
    <row r="980" spans="1:15" x14ac:dyDescent="0.3">
      <c r="A980" s="64">
        <v>979</v>
      </c>
      <c r="B980" s="64">
        <v>3878</v>
      </c>
      <c r="C980" s="64" t="s">
        <v>29</v>
      </c>
      <c r="D980" s="64" t="s">
        <v>14</v>
      </c>
      <c r="E980" s="64">
        <v>44558</v>
      </c>
      <c r="F980" s="64">
        <v>2</v>
      </c>
      <c r="G980" s="64">
        <v>89116</v>
      </c>
      <c r="H980" s="65">
        <v>45367</v>
      </c>
      <c r="I980" s="64" t="s">
        <v>26</v>
      </c>
      <c r="J980" s="64" t="s">
        <v>16</v>
      </c>
      <c r="K980" s="64" t="s">
        <v>28</v>
      </c>
      <c r="L980" s="64">
        <v>1.8</v>
      </c>
      <c r="M980" s="66">
        <v>0.16473214686476054</v>
      </c>
      <c r="N980" s="64">
        <v>12054.53</v>
      </c>
      <c r="O980" s="64" t="s">
        <v>22</v>
      </c>
    </row>
    <row r="981" spans="1:15" x14ac:dyDescent="0.3">
      <c r="A981" s="64">
        <v>980</v>
      </c>
      <c r="B981" s="64">
        <v>6025</v>
      </c>
      <c r="C981" s="64" t="s">
        <v>32</v>
      </c>
      <c r="D981" s="64" t="s">
        <v>14</v>
      </c>
      <c r="E981" s="64">
        <v>29283</v>
      </c>
      <c r="F981" s="64">
        <v>3</v>
      </c>
      <c r="G981" s="64">
        <v>87849</v>
      </c>
      <c r="H981" s="65">
        <v>45421</v>
      </c>
      <c r="I981" s="64" t="s">
        <v>26</v>
      </c>
      <c r="J981" s="64" t="s">
        <v>21</v>
      </c>
      <c r="K981" s="64" t="s">
        <v>17</v>
      </c>
      <c r="L981" s="64">
        <v>1.5</v>
      </c>
      <c r="M981" s="66">
        <v>0.17269359924415759</v>
      </c>
      <c r="N981" s="64">
        <v>11183.74</v>
      </c>
      <c r="O981" s="64" t="s">
        <v>22</v>
      </c>
    </row>
    <row r="982" spans="1:15" x14ac:dyDescent="0.3">
      <c r="A982" s="64">
        <v>981</v>
      </c>
      <c r="B982" s="64">
        <v>4673</v>
      </c>
      <c r="C982" s="64" t="s">
        <v>29</v>
      </c>
      <c r="D982" s="64" t="s">
        <v>20</v>
      </c>
      <c r="E982" s="64">
        <v>14954</v>
      </c>
      <c r="F982" s="64">
        <v>1</v>
      </c>
      <c r="G982" s="64">
        <v>14954</v>
      </c>
      <c r="H982" s="65">
        <v>45366</v>
      </c>
      <c r="I982" s="64" t="s">
        <v>15</v>
      </c>
      <c r="J982" s="64" t="s">
        <v>21</v>
      </c>
      <c r="K982" s="64" t="s">
        <v>28</v>
      </c>
      <c r="L982" s="64">
        <v>2.2000000000000002</v>
      </c>
      <c r="M982" s="66">
        <v>0.29527618028621105</v>
      </c>
      <c r="N982" s="64">
        <v>70.64</v>
      </c>
      <c r="O982" s="64" t="s">
        <v>22</v>
      </c>
    </row>
    <row r="983" spans="1:15" x14ac:dyDescent="0.3">
      <c r="A983" s="64">
        <v>982</v>
      </c>
      <c r="B983" s="64">
        <v>3202</v>
      </c>
      <c r="C983" s="64" t="s">
        <v>23</v>
      </c>
      <c r="D983" s="64" t="s">
        <v>14</v>
      </c>
      <c r="E983" s="64">
        <v>25337</v>
      </c>
      <c r="F983" s="64">
        <v>5</v>
      </c>
      <c r="G983" s="64">
        <v>126685</v>
      </c>
      <c r="H983" s="65">
        <v>45356</v>
      </c>
      <c r="I983" s="64" t="s">
        <v>33</v>
      </c>
      <c r="J983" s="64" t="s">
        <v>27</v>
      </c>
      <c r="K983" s="64" t="s">
        <v>28</v>
      </c>
      <c r="L983" s="64">
        <v>2</v>
      </c>
      <c r="M983" s="66">
        <v>0.11739858704661167</v>
      </c>
      <c r="N983" s="64">
        <v>23132.86</v>
      </c>
      <c r="O983" s="64" t="s">
        <v>22</v>
      </c>
    </row>
    <row r="984" spans="1:15" x14ac:dyDescent="0.3">
      <c r="A984" s="64">
        <v>983</v>
      </c>
      <c r="B984" s="64">
        <v>8174</v>
      </c>
      <c r="C984" s="64" t="s">
        <v>34</v>
      </c>
      <c r="D984" s="64" t="s">
        <v>20</v>
      </c>
      <c r="E984" s="64">
        <v>24732</v>
      </c>
      <c r="F984" s="64">
        <v>3</v>
      </c>
      <c r="G984" s="64">
        <v>74196</v>
      </c>
      <c r="H984" s="65">
        <v>45494</v>
      </c>
      <c r="I984" s="64" t="s">
        <v>26</v>
      </c>
      <c r="J984" s="64" t="s">
        <v>21</v>
      </c>
      <c r="K984" s="64" t="s">
        <v>28</v>
      </c>
      <c r="L984" s="64">
        <v>2.2000000000000002</v>
      </c>
      <c r="M984" s="66">
        <v>0.25540083023343579</v>
      </c>
      <c r="N984" s="64">
        <v>3309.08</v>
      </c>
      <c r="O984" s="64" t="s">
        <v>22</v>
      </c>
    </row>
    <row r="985" spans="1:15" x14ac:dyDescent="0.3">
      <c r="A985" s="64">
        <v>984</v>
      </c>
      <c r="B985" s="64">
        <v>4105</v>
      </c>
      <c r="C985" s="64" t="s">
        <v>13</v>
      </c>
      <c r="D985" s="64" t="s">
        <v>25</v>
      </c>
      <c r="E985" s="64">
        <v>48964</v>
      </c>
      <c r="F985" s="64">
        <v>1</v>
      </c>
      <c r="G985" s="64">
        <v>48964</v>
      </c>
      <c r="H985" s="65">
        <v>45558</v>
      </c>
      <c r="I985" s="64" t="s">
        <v>30</v>
      </c>
      <c r="J985" s="64" t="s">
        <v>16</v>
      </c>
      <c r="K985" s="64" t="s">
        <v>17</v>
      </c>
      <c r="L985" s="64">
        <v>3.8</v>
      </c>
      <c r="M985" s="66">
        <v>0.18141287476513357</v>
      </c>
      <c r="N985" s="64">
        <v>5806.5</v>
      </c>
      <c r="O985" s="64" t="s">
        <v>22</v>
      </c>
    </row>
    <row r="986" spans="1:15" x14ac:dyDescent="0.3">
      <c r="A986" s="64">
        <v>985</v>
      </c>
      <c r="B986" s="64">
        <v>3177</v>
      </c>
      <c r="C986" s="64" t="s">
        <v>19</v>
      </c>
      <c r="D986" s="64" t="s">
        <v>20</v>
      </c>
      <c r="E986" s="64">
        <v>1555</v>
      </c>
      <c r="F986" s="64">
        <v>4</v>
      </c>
      <c r="G986" s="64">
        <v>6220</v>
      </c>
      <c r="H986" s="65">
        <v>45388</v>
      </c>
      <c r="I986" s="64" t="s">
        <v>33</v>
      </c>
      <c r="J986" s="64" t="s">
        <v>16</v>
      </c>
      <c r="K986" s="64" t="s">
        <v>17</v>
      </c>
      <c r="L986" s="64">
        <v>1.7</v>
      </c>
      <c r="M986" s="66">
        <v>5.6228295819935693E-2</v>
      </c>
      <c r="N986" s="64">
        <v>1516.26</v>
      </c>
      <c r="O986" s="64" t="s">
        <v>18</v>
      </c>
    </row>
    <row r="987" spans="1:15" x14ac:dyDescent="0.3">
      <c r="A987" s="64">
        <v>986</v>
      </c>
      <c r="B987" s="64">
        <v>5926</v>
      </c>
      <c r="C987" s="64" t="s">
        <v>23</v>
      </c>
      <c r="D987" s="64" t="s">
        <v>14</v>
      </c>
      <c r="E987" s="64">
        <v>19978</v>
      </c>
      <c r="F987" s="64">
        <v>2</v>
      </c>
      <c r="G987" s="64">
        <v>39956</v>
      </c>
      <c r="H987" s="65">
        <v>45487</v>
      </c>
      <c r="I987" s="64" t="s">
        <v>33</v>
      </c>
      <c r="J987" s="64" t="s">
        <v>16</v>
      </c>
      <c r="K987" s="64" t="s">
        <v>24</v>
      </c>
      <c r="L987" s="64">
        <v>2.2000000000000002</v>
      </c>
      <c r="M987" s="66">
        <v>0.21477024727199923</v>
      </c>
      <c r="N987" s="64">
        <v>3405.44</v>
      </c>
      <c r="O987" s="64" t="s">
        <v>18</v>
      </c>
    </row>
    <row r="988" spans="1:15" x14ac:dyDescent="0.3">
      <c r="A988" s="64">
        <v>987</v>
      </c>
      <c r="B988" s="64">
        <v>9580</v>
      </c>
      <c r="C988" s="64" t="s">
        <v>19</v>
      </c>
      <c r="D988" s="64" t="s">
        <v>14</v>
      </c>
      <c r="E988" s="64">
        <v>12940</v>
      </c>
      <c r="F988" s="64">
        <v>5</v>
      </c>
      <c r="G988" s="64">
        <v>64700</v>
      </c>
      <c r="H988" s="65">
        <v>45605</v>
      </c>
      <c r="I988" s="64" t="s">
        <v>33</v>
      </c>
      <c r="J988" s="64" t="s">
        <v>16</v>
      </c>
      <c r="K988" s="64" t="s">
        <v>24</v>
      </c>
      <c r="L988" s="64">
        <v>2.1</v>
      </c>
      <c r="M988" s="66">
        <v>6.7746058732612052E-2</v>
      </c>
      <c r="N988" s="64">
        <v>15026.83</v>
      </c>
      <c r="O988" s="64" t="s">
        <v>18</v>
      </c>
    </row>
    <row r="989" spans="1:15" x14ac:dyDescent="0.3">
      <c r="A989" s="64">
        <v>988</v>
      </c>
      <c r="B989" s="64">
        <v>8692</v>
      </c>
      <c r="C989" s="64" t="s">
        <v>34</v>
      </c>
      <c r="D989" s="64" t="s">
        <v>20</v>
      </c>
      <c r="E989" s="64">
        <v>7518</v>
      </c>
      <c r="F989" s="64">
        <v>1</v>
      </c>
      <c r="G989" s="64">
        <v>7518</v>
      </c>
      <c r="H989" s="65">
        <v>45576</v>
      </c>
      <c r="I989" s="64" t="s">
        <v>30</v>
      </c>
      <c r="J989" s="64" t="s">
        <v>27</v>
      </c>
      <c r="K989" s="64" t="s">
        <v>17</v>
      </c>
      <c r="L989" s="64">
        <v>1.6</v>
      </c>
      <c r="M989" s="66">
        <v>0.23598430433625966</v>
      </c>
      <c r="N989" s="64">
        <v>481.27</v>
      </c>
      <c r="O989" s="64" t="s">
        <v>18</v>
      </c>
    </row>
    <row r="990" spans="1:15" x14ac:dyDescent="0.3">
      <c r="A990" s="64">
        <v>989</v>
      </c>
      <c r="B990" s="64">
        <v>6245</v>
      </c>
      <c r="C990" s="64" t="s">
        <v>32</v>
      </c>
      <c r="D990" s="64" t="s">
        <v>25</v>
      </c>
      <c r="E990" s="64">
        <v>34217</v>
      </c>
      <c r="F990" s="64">
        <v>2</v>
      </c>
      <c r="G990" s="64">
        <v>68434</v>
      </c>
      <c r="H990" s="65">
        <v>45333</v>
      </c>
      <c r="I990" s="64" t="s">
        <v>33</v>
      </c>
      <c r="J990" s="64" t="s">
        <v>21</v>
      </c>
      <c r="K990" s="64" t="s">
        <v>28</v>
      </c>
      <c r="L990" s="64">
        <v>4.0999999999999996</v>
      </c>
      <c r="M990" s="66">
        <v>0.18786597305432973</v>
      </c>
      <c r="N990" s="64">
        <v>7673.78</v>
      </c>
      <c r="O990" s="64" t="s">
        <v>22</v>
      </c>
    </row>
    <row r="991" spans="1:15" x14ac:dyDescent="0.3">
      <c r="A991" s="64">
        <v>990</v>
      </c>
      <c r="B991" s="64">
        <v>6430</v>
      </c>
      <c r="C991" s="64" t="s">
        <v>32</v>
      </c>
      <c r="D991" s="64" t="s">
        <v>20</v>
      </c>
      <c r="E991" s="64">
        <v>4733</v>
      </c>
      <c r="F991" s="64">
        <v>2</v>
      </c>
      <c r="G991" s="64">
        <v>9466</v>
      </c>
      <c r="H991" s="65">
        <v>45512</v>
      </c>
      <c r="I991" s="64" t="s">
        <v>30</v>
      </c>
      <c r="J991" s="64" t="s">
        <v>16</v>
      </c>
      <c r="K991" s="64" t="s">
        <v>17</v>
      </c>
      <c r="L991" s="64">
        <v>1.4</v>
      </c>
      <c r="M991" s="66">
        <v>5.7785759560532432E-2</v>
      </c>
      <c r="N991" s="64">
        <v>2292.8000000000002</v>
      </c>
      <c r="O991" s="64" t="s">
        <v>22</v>
      </c>
    </row>
    <row r="992" spans="1:15" x14ac:dyDescent="0.3">
      <c r="A992" s="64">
        <v>991</v>
      </c>
      <c r="B992" s="64">
        <v>6145</v>
      </c>
      <c r="C992" s="64" t="s">
        <v>29</v>
      </c>
      <c r="D992" s="64" t="s">
        <v>20</v>
      </c>
      <c r="E992" s="64">
        <v>27499</v>
      </c>
      <c r="F992" s="64">
        <v>2</v>
      </c>
      <c r="G992" s="64">
        <v>54998</v>
      </c>
      <c r="H992" s="65">
        <v>45505</v>
      </c>
      <c r="I992" s="64" t="s">
        <v>15</v>
      </c>
      <c r="J992" s="64" t="s">
        <v>31</v>
      </c>
      <c r="K992" s="64" t="s">
        <v>24</v>
      </c>
      <c r="L992" s="64">
        <v>2.9</v>
      </c>
      <c r="M992" s="66">
        <v>5.8404669260700384E-2</v>
      </c>
      <c r="N992" s="64">
        <v>13287.26</v>
      </c>
      <c r="O992" s="64" t="s">
        <v>22</v>
      </c>
    </row>
    <row r="993" spans="1:15" x14ac:dyDescent="0.3">
      <c r="A993" s="64">
        <v>992</v>
      </c>
      <c r="B993" s="64">
        <v>7991</v>
      </c>
      <c r="C993" s="64" t="s">
        <v>13</v>
      </c>
      <c r="D993" s="64" t="s">
        <v>25</v>
      </c>
      <c r="E993" s="64">
        <v>13659</v>
      </c>
      <c r="F993" s="64">
        <v>3</v>
      </c>
      <c r="G993" s="64">
        <v>40977</v>
      </c>
      <c r="H993" s="65">
        <v>45366</v>
      </c>
      <c r="I993" s="64" t="s">
        <v>33</v>
      </c>
      <c r="J993" s="64" t="s">
        <v>21</v>
      </c>
      <c r="K993" s="64" t="s">
        <v>28</v>
      </c>
      <c r="L993" s="64">
        <v>4.3</v>
      </c>
      <c r="M993" s="66">
        <v>0.21837665031603096</v>
      </c>
      <c r="N993" s="64">
        <v>3344.68</v>
      </c>
      <c r="O993" s="64" t="s">
        <v>22</v>
      </c>
    </row>
    <row r="994" spans="1:15" x14ac:dyDescent="0.3">
      <c r="A994" s="64">
        <v>993</v>
      </c>
      <c r="B994" s="64">
        <v>3652</v>
      </c>
      <c r="C994" s="64" t="s">
        <v>13</v>
      </c>
      <c r="D994" s="64" t="s">
        <v>25</v>
      </c>
      <c r="E994" s="64">
        <v>11344</v>
      </c>
      <c r="F994" s="64">
        <v>1</v>
      </c>
      <c r="G994" s="64">
        <v>11344</v>
      </c>
      <c r="H994" s="65">
        <v>45460</v>
      </c>
      <c r="I994" s="64" t="s">
        <v>26</v>
      </c>
      <c r="J994" s="64" t="s">
        <v>27</v>
      </c>
      <c r="K994" s="64" t="s">
        <v>28</v>
      </c>
      <c r="L994" s="64">
        <v>2.2000000000000002</v>
      </c>
      <c r="M994" s="66">
        <v>0.25831540902679828</v>
      </c>
      <c r="N994" s="64">
        <v>472.87</v>
      </c>
      <c r="O994" s="64" t="s">
        <v>18</v>
      </c>
    </row>
    <row r="995" spans="1:15" x14ac:dyDescent="0.3">
      <c r="A995" s="64">
        <v>994</v>
      </c>
      <c r="B995" s="64">
        <v>3506</v>
      </c>
      <c r="C995" s="64" t="s">
        <v>32</v>
      </c>
      <c r="D995" s="64" t="s">
        <v>20</v>
      </c>
      <c r="E995" s="64">
        <v>49825</v>
      </c>
      <c r="F995" s="64">
        <v>3</v>
      </c>
      <c r="G995" s="64">
        <v>149475</v>
      </c>
      <c r="H995" s="65">
        <v>45561</v>
      </c>
      <c r="I995" s="64" t="s">
        <v>30</v>
      </c>
      <c r="J995" s="64" t="s">
        <v>27</v>
      </c>
      <c r="K995" s="64" t="s">
        <v>17</v>
      </c>
      <c r="L995" s="64">
        <v>2.6</v>
      </c>
      <c r="M995" s="66">
        <v>0.1788456263589229</v>
      </c>
      <c r="N995" s="64">
        <v>18109.55</v>
      </c>
      <c r="O995" s="64" t="s">
        <v>22</v>
      </c>
    </row>
    <row r="996" spans="1:15" x14ac:dyDescent="0.3">
      <c r="A996" s="64">
        <v>995</v>
      </c>
      <c r="B996" s="64">
        <v>3622</v>
      </c>
      <c r="C996" s="64" t="s">
        <v>19</v>
      </c>
      <c r="D996" s="64" t="s">
        <v>25</v>
      </c>
      <c r="E996" s="64">
        <v>4305</v>
      </c>
      <c r="F996" s="64">
        <v>5</v>
      </c>
      <c r="G996" s="64">
        <v>21525</v>
      </c>
      <c r="H996" s="65">
        <v>45449</v>
      </c>
      <c r="I996" s="64" t="s">
        <v>15</v>
      </c>
      <c r="J996" s="64" t="s">
        <v>31</v>
      </c>
      <c r="K996" s="64" t="s">
        <v>24</v>
      </c>
      <c r="L996" s="64">
        <v>1.5</v>
      </c>
      <c r="M996" s="66">
        <v>0.19381881533101045</v>
      </c>
      <c r="N996" s="64">
        <v>2285.5500000000002</v>
      </c>
      <c r="O996" s="64" t="s">
        <v>22</v>
      </c>
    </row>
    <row r="997" spans="1:15" x14ac:dyDescent="0.3">
      <c r="A997" s="64">
        <v>996</v>
      </c>
      <c r="B997" s="64">
        <v>9700</v>
      </c>
      <c r="C997" s="64" t="s">
        <v>34</v>
      </c>
      <c r="D997" s="64" t="s">
        <v>25</v>
      </c>
      <c r="E997" s="64">
        <v>18048</v>
      </c>
      <c r="F997" s="64">
        <v>3</v>
      </c>
      <c r="G997" s="64">
        <v>54144</v>
      </c>
      <c r="H997" s="65">
        <v>45606</v>
      </c>
      <c r="I997" s="64" t="s">
        <v>30</v>
      </c>
      <c r="J997" s="64" t="s">
        <v>21</v>
      </c>
      <c r="K997" s="64" t="s">
        <v>28</v>
      </c>
      <c r="L997" s="64">
        <v>1</v>
      </c>
      <c r="M997" s="66">
        <v>6.0002955082742324E-2</v>
      </c>
      <c r="N997" s="64">
        <v>12994.4</v>
      </c>
      <c r="O997" s="64" t="s">
        <v>18</v>
      </c>
    </row>
    <row r="998" spans="1:15" x14ac:dyDescent="0.3">
      <c r="A998" s="64">
        <v>997</v>
      </c>
      <c r="B998" s="64">
        <v>9937</v>
      </c>
      <c r="C998" s="64" t="s">
        <v>23</v>
      </c>
      <c r="D998" s="64" t="s">
        <v>14</v>
      </c>
      <c r="E998" s="64">
        <v>19916</v>
      </c>
      <c r="F998" s="64">
        <v>5</v>
      </c>
      <c r="G998" s="64">
        <v>99580</v>
      </c>
      <c r="H998" s="65">
        <v>45356</v>
      </c>
      <c r="I998" s="64" t="s">
        <v>26</v>
      </c>
      <c r="J998" s="64" t="s">
        <v>35</v>
      </c>
      <c r="K998" s="64" t="s">
        <v>28</v>
      </c>
      <c r="L998" s="64">
        <v>1.6</v>
      </c>
      <c r="M998" s="66">
        <v>0.22405884715806385</v>
      </c>
      <c r="N998" s="64">
        <v>7562.22</v>
      </c>
      <c r="O998" s="64" t="s">
        <v>18</v>
      </c>
    </row>
    <row r="999" spans="1:15" x14ac:dyDescent="0.3">
      <c r="A999" s="64">
        <v>998</v>
      </c>
      <c r="B999" s="64">
        <v>7711</v>
      </c>
      <c r="C999" s="64" t="s">
        <v>13</v>
      </c>
      <c r="D999" s="64" t="s">
        <v>25</v>
      </c>
      <c r="E999" s="64">
        <v>20893</v>
      </c>
      <c r="F999" s="64">
        <v>4</v>
      </c>
      <c r="G999" s="64">
        <v>83572</v>
      </c>
      <c r="H999" s="65">
        <v>45463</v>
      </c>
      <c r="I999" s="64" t="s">
        <v>15</v>
      </c>
      <c r="J999" s="64" t="s">
        <v>16</v>
      </c>
      <c r="K999" s="64" t="s">
        <v>17</v>
      </c>
      <c r="L999" s="64">
        <v>3</v>
      </c>
      <c r="M999" s="66">
        <v>0.24399440003829032</v>
      </c>
      <c r="N999" s="64">
        <v>4680.5</v>
      </c>
      <c r="O999" s="64" t="s">
        <v>18</v>
      </c>
    </row>
    <row r="1000" spans="1:15" x14ac:dyDescent="0.3">
      <c r="A1000" s="64">
        <v>999</v>
      </c>
      <c r="B1000" s="64">
        <v>6339</v>
      </c>
      <c r="C1000" s="64" t="s">
        <v>34</v>
      </c>
      <c r="D1000" s="64" t="s">
        <v>14</v>
      </c>
      <c r="E1000" s="64">
        <v>39351</v>
      </c>
      <c r="F1000" s="64">
        <v>2</v>
      </c>
      <c r="G1000" s="64">
        <v>78702</v>
      </c>
      <c r="H1000" s="65">
        <v>45556</v>
      </c>
      <c r="I1000" s="64" t="s">
        <v>33</v>
      </c>
      <c r="J1000" s="64" t="s">
        <v>27</v>
      </c>
      <c r="K1000" s="64" t="s">
        <v>17</v>
      </c>
      <c r="L1000" s="64">
        <v>1.3</v>
      </c>
      <c r="M1000" s="66">
        <v>0.17398058499148689</v>
      </c>
      <c r="N1000" s="64">
        <v>9917.98</v>
      </c>
      <c r="O1000" s="64" t="s">
        <v>18</v>
      </c>
    </row>
    <row r="1001" spans="1:15" x14ac:dyDescent="0.3">
      <c r="A1001" s="64">
        <v>1000</v>
      </c>
      <c r="B1001" s="64">
        <v>8816</v>
      </c>
      <c r="C1001" s="64" t="s">
        <v>29</v>
      </c>
      <c r="D1001" s="64" t="s">
        <v>14</v>
      </c>
      <c r="E1001" s="64">
        <v>25079</v>
      </c>
      <c r="F1001" s="64">
        <v>4</v>
      </c>
      <c r="G1001" s="64">
        <v>100316</v>
      </c>
      <c r="H1001" s="65">
        <v>45297</v>
      </c>
      <c r="I1001" s="64" t="s">
        <v>33</v>
      </c>
      <c r="J1001" s="64" t="s">
        <v>27</v>
      </c>
      <c r="K1001" s="64" t="s">
        <v>17</v>
      </c>
      <c r="L1001" s="64">
        <v>3.7</v>
      </c>
      <c r="M1001" s="66">
        <v>0.11894074723872562</v>
      </c>
      <c r="N1001" s="64">
        <v>18163.14</v>
      </c>
      <c r="O1001" s="64" t="s">
        <v>22</v>
      </c>
    </row>
  </sheetData>
  <autoFilter ref="A1:O1001" xr:uid="{7F93C1B7-48AF-489B-8254-1B25CA7C53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C503C-C390-468F-845E-19D05E56BCB8}">
  <dimension ref="A1:X27"/>
  <sheetViews>
    <sheetView showGridLines="0" workbookViewId="0">
      <selection activeCell="K9" sqref="K9"/>
    </sheetView>
  </sheetViews>
  <sheetFormatPr defaultRowHeight="14.4" x14ac:dyDescent="0.3"/>
  <sheetData>
    <row r="1" spans="1:24" x14ac:dyDescent="0.3">
      <c r="A1" s="56"/>
      <c r="B1" s="56"/>
      <c r="C1" s="56"/>
      <c r="D1" s="56"/>
      <c r="E1" s="56"/>
      <c r="F1" s="56"/>
      <c r="G1" s="56"/>
      <c r="H1" s="56"/>
      <c r="I1" s="56"/>
      <c r="J1" s="56"/>
      <c r="K1" s="56"/>
      <c r="L1" s="56"/>
      <c r="M1" s="56"/>
      <c r="N1" s="56"/>
      <c r="O1" s="56"/>
      <c r="P1" s="56"/>
      <c r="Q1" s="56"/>
      <c r="R1" s="56"/>
      <c r="S1" s="56"/>
      <c r="T1" s="56"/>
      <c r="U1" s="56"/>
      <c r="V1" s="56"/>
      <c r="W1" s="56"/>
      <c r="X1" s="56"/>
    </row>
    <row r="2" spans="1:24" ht="28.8" x14ac:dyDescent="0.55000000000000004">
      <c r="A2" s="63"/>
      <c r="B2" s="70" t="s">
        <v>39</v>
      </c>
      <c r="C2" s="70"/>
      <c r="D2" s="70"/>
      <c r="E2" s="70"/>
      <c r="F2" s="70"/>
      <c r="G2" s="70"/>
      <c r="H2" s="70"/>
      <c r="I2" s="70"/>
      <c r="J2" s="70"/>
      <c r="K2" s="70"/>
      <c r="L2" s="70"/>
      <c r="M2" s="70"/>
      <c r="N2" s="70"/>
      <c r="O2" s="70"/>
      <c r="P2" s="70"/>
      <c r="Q2" s="70"/>
      <c r="R2" s="70"/>
      <c r="S2" s="70"/>
      <c r="T2" s="70"/>
      <c r="U2" s="70"/>
      <c r="V2" s="70"/>
      <c r="W2" s="63"/>
      <c r="X2" s="63"/>
    </row>
    <row r="3" spans="1:24" x14ac:dyDescent="0.3">
      <c r="A3" s="56"/>
      <c r="B3" s="56"/>
      <c r="C3" s="56"/>
      <c r="D3" s="56"/>
      <c r="E3" s="56"/>
      <c r="F3" s="56"/>
      <c r="G3" s="56"/>
      <c r="H3" s="56"/>
      <c r="I3" s="56"/>
      <c r="J3" s="56"/>
      <c r="K3" s="56"/>
      <c r="L3" s="56"/>
      <c r="M3" s="56"/>
      <c r="N3" s="56"/>
      <c r="O3" s="56"/>
      <c r="P3" s="56"/>
      <c r="Q3" s="56"/>
      <c r="R3" s="56"/>
      <c r="S3" s="56"/>
      <c r="T3" s="56"/>
      <c r="U3" s="56"/>
      <c r="V3" s="56"/>
      <c r="W3" s="56"/>
      <c r="X3" s="56"/>
    </row>
    <row r="4" spans="1:24" x14ac:dyDescent="0.3">
      <c r="A4" s="56"/>
      <c r="B4" s="56"/>
      <c r="C4" s="56"/>
      <c r="D4" s="56"/>
      <c r="E4" s="56"/>
      <c r="F4" s="56"/>
      <c r="G4" s="56"/>
      <c r="H4" s="56"/>
      <c r="I4" s="56"/>
      <c r="J4" s="56"/>
      <c r="K4" s="56"/>
      <c r="L4" s="56"/>
      <c r="M4" s="56"/>
      <c r="N4" s="56"/>
      <c r="O4" s="56"/>
      <c r="P4" s="56"/>
      <c r="Q4" s="56"/>
      <c r="R4" s="56"/>
      <c r="S4" s="56"/>
      <c r="T4" s="56"/>
      <c r="U4" s="56"/>
      <c r="V4" s="56"/>
      <c r="W4" s="56"/>
      <c r="X4" s="56"/>
    </row>
    <row r="5" spans="1:24" ht="15.6" x14ac:dyDescent="0.3">
      <c r="A5" s="56"/>
      <c r="B5" s="61" t="s">
        <v>40</v>
      </c>
      <c r="C5" s="62"/>
      <c r="D5" s="62"/>
      <c r="E5" s="62"/>
      <c r="F5" s="62"/>
      <c r="G5" s="62"/>
      <c r="H5" s="62"/>
      <c r="I5" s="62"/>
      <c r="J5" s="62"/>
      <c r="K5" s="56"/>
      <c r="L5" s="61" t="s">
        <v>52</v>
      </c>
      <c r="M5" s="62"/>
      <c r="N5" s="62"/>
      <c r="O5" s="62"/>
      <c r="P5" s="62"/>
      <c r="Q5" s="62"/>
      <c r="R5" s="62"/>
      <c r="S5" s="62"/>
      <c r="T5" s="62"/>
      <c r="U5" s="62"/>
      <c r="V5" s="62"/>
      <c r="W5" s="62"/>
      <c r="X5" s="56"/>
    </row>
    <row r="6" spans="1:24" ht="15.6" x14ac:dyDescent="0.3">
      <c r="A6" s="56"/>
      <c r="B6" s="61"/>
      <c r="C6" s="62"/>
      <c r="D6" s="62"/>
      <c r="E6" s="62"/>
      <c r="F6" s="62"/>
      <c r="G6" s="62"/>
      <c r="H6" s="62"/>
      <c r="I6" s="62"/>
      <c r="J6" s="62"/>
      <c r="K6" s="56"/>
      <c r="L6" s="56"/>
      <c r="M6" s="61"/>
      <c r="N6" s="62"/>
      <c r="O6" s="62"/>
      <c r="P6" s="62"/>
      <c r="Q6" s="62"/>
      <c r="R6" s="62"/>
      <c r="S6" s="62"/>
      <c r="T6" s="62"/>
      <c r="U6" s="62"/>
      <c r="V6" s="62"/>
      <c r="W6" s="62"/>
      <c r="X6" s="56"/>
    </row>
    <row r="7" spans="1:24" ht="15.6" x14ac:dyDescent="0.3">
      <c r="A7" s="56"/>
      <c r="B7" s="61" t="s">
        <v>41</v>
      </c>
      <c r="C7" s="62"/>
      <c r="D7" s="62"/>
      <c r="E7" s="62"/>
      <c r="F7" s="62"/>
      <c r="G7" s="62"/>
      <c r="H7" s="62"/>
      <c r="I7" s="62"/>
      <c r="J7" s="62"/>
      <c r="K7" s="56"/>
      <c r="L7" s="61" t="s">
        <v>42</v>
      </c>
      <c r="M7" s="62"/>
      <c r="N7" s="62"/>
      <c r="O7" s="62"/>
      <c r="P7" s="62"/>
      <c r="Q7" s="62"/>
      <c r="R7" s="62"/>
      <c r="S7" s="62"/>
      <c r="T7" s="62"/>
      <c r="U7" s="62"/>
      <c r="V7" s="62"/>
      <c r="W7" s="56"/>
      <c r="X7" s="56"/>
    </row>
    <row r="8" spans="1:24" ht="15.6" x14ac:dyDescent="0.3">
      <c r="A8" s="56"/>
      <c r="B8" s="61"/>
      <c r="C8" s="62"/>
      <c r="D8" s="62"/>
      <c r="E8" s="62"/>
      <c r="F8" s="62"/>
      <c r="G8" s="62"/>
      <c r="H8" s="62"/>
      <c r="I8" s="62"/>
      <c r="J8" s="62"/>
      <c r="K8" s="56"/>
      <c r="L8" s="61"/>
      <c r="M8" s="62"/>
      <c r="N8" s="62"/>
      <c r="O8" s="62"/>
      <c r="P8" s="62"/>
      <c r="Q8" s="62"/>
      <c r="R8" s="62"/>
      <c r="S8" s="62"/>
      <c r="T8" s="62"/>
      <c r="U8" s="62"/>
      <c r="V8" s="62"/>
      <c r="W8" s="56"/>
      <c r="X8" s="56"/>
    </row>
    <row r="9" spans="1:24" ht="15.6" x14ac:dyDescent="0.3">
      <c r="A9" s="56"/>
      <c r="B9" s="61" t="s">
        <v>43</v>
      </c>
      <c r="C9" s="62"/>
      <c r="D9" s="62"/>
      <c r="E9" s="62"/>
      <c r="F9" s="62"/>
      <c r="G9" s="62"/>
      <c r="H9" s="62"/>
      <c r="I9" s="62"/>
      <c r="J9" s="62"/>
      <c r="K9" s="56"/>
      <c r="L9" s="61" t="s">
        <v>44</v>
      </c>
      <c r="M9" s="62"/>
      <c r="N9" s="62"/>
      <c r="O9" s="62"/>
      <c r="P9" s="62"/>
      <c r="Q9" s="62"/>
      <c r="R9" s="62"/>
      <c r="S9" s="62"/>
      <c r="T9" s="62"/>
      <c r="U9" s="62"/>
      <c r="V9" s="62"/>
      <c r="W9" s="56"/>
      <c r="X9" s="56"/>
    </row>
    <row r="10" spans="1:24" ht="15.6" x14ac:dyDescent="0.3">
      <c r="A10" s="56"/>
      <c r="B10" s="61"/>
      <c r="C10" s="62"/>
      <c r="D10" s="62"/>
      <c r="E10" s="62"/>
      <c r="F10" s="62"/>
      <c r="G10" s="62"/>
      <c r="H10" s="62"/>
      <c r="I10" s="62"/>
      <c r="J10" s="62"/>
      <c r="K10" s="56"/>
      <c r="L10" s="61"/>
      <c r="M10" s="62"/>
      <c r="N10" s="62"/>
      <c r="O10" s="62"/>
      <c r="P10" s="62"/>
      <c r="Q10" s="62"/>
      <c r="R10" s="62"/>
      <c r="S10" s="62"/>
      <c r="T10" s="62"/>
      <c r="U10" s="62"/>
      <c r="V10" s="62"/>
      <c r="W10" s="56"/>
      <c r="X10" s="56"/>
    </row>
    <row r="11" spans="1:24" ht="15.6" x14ac:dyDescent="0.3">
      <c r="A11" s="56"/>
      <c r="B11" s="61" t="s">
        <v>45</v>
      </c>
      <c r="C11" s="62"/>
      <c r="D11" s="62"/>
      <c r="E11" s="62"/>
      <c r="F11" s="62"/>
      <c r="G11" s="62"/>
      <c r="H11" s="62"/>
      <c r="I11" s="62"/>
      <c r="J11" s="62"/>
      <c r="K11" s="56"/>
      <c r="L11" s="61" t="s">
        <v>38</v>
      </c>
      <c r="M11" s="62"/>
      <c r="N11" s="62"/>
      <c r="O11" s="62"/>
      <c r="P11" s="62"/>
      <c r="Q11" s="62"/>
      <c r="R11" s="62"/>
      <c r="S11" s="62"/>
      <c r="T11" s="62"/>
      <c r="U11" s="62"/>
      <c r="V11" s="62"/>
      <c r="W11" s="56"/>
      <c r="X11" s="56"/>
    </row>
    <row r="12" spans="1:24" ht="15.6" x14ac:dyDescent="0.3">
      <c r="A12" s="56"/>
      <c r="B12" s="61"/>
      <c r="C12" s="62"/>
      <c r="D12" s="62"/>
      <c r="E12" s="62"/>
      <c r="F12" s="62"/>
      <c r="G12" s="62"/>
      <c r="H12" s="62"/>
      <c r="I12" s="62"/>
      <c r="J12" s="62"/>
      <c r="K12" s="56"/>
      <c r="L12" s="62"/>
      <c r="M12" s="62"/>
      <c r="N12" s="62"/>
      <c r="O12" s="62"/>
      <c r="P12" s="62"/>
      <c r="Q12" s="62"/>
      <c r="R12" s="62"/>
      <c r="S12" s="62"/>
      <c r="T12" s="62"/>
      <c r="U12" s="62"/>
      <c r="V12" s="62"/>
      <c r="W12" s="56"/>
      <c r="X12" s="56"/>
    </row>
    <row r="13" spans="1:24" ht="15.6" x14ac:dyDescent="0.3">
      <c r="A13" s="56"/>
      <c r="B13" s="61" t="s">
        <v>46</v>
      </c>
      <c r="C13" s="62"/>
      <c r="D13" s="62"/>
      <c r="E13" s="62"/>
      <c r="F13" s="62"/>
      <c r="G13" s="62"/>
      <c r="H13" s="62"/>
      <c r="I13" s="62"/>
      <c r="J13" s="62"/>
      <c r="K13" s="56"/>
      <c r="L13" s="62" t="s">
        <v>47</v>
      </c>
      <c r="M13" s="62"/>
      <c r="N13" s="62"/>
      <c r="O13" s="62"/>
      <c r="P13" s="62"/>
      <c r="Q13" s="62"/>
      <c r="R13" s="62"/>
      <c r="S13" s="62"/>
      <c r="T13" s="62"/>
      <c r="U13" s="62"/>
      <c r="V13" s="62"/>
      <c r="W13" s="56"/>
      <c r="X13" s="56"/>
    </row>
    <row r="14" spans="1:24" ht="15.6" x14ac:dyDescent="0.3">
      <c r="A14" s="56"/>
      <c r="B14" s="61"/>
      <c r="C14" s="62"/>
      <c r="D14" s="62"/>
      <c r="E14" s="62"/>
      <c r="F14" s="62"/>
      <c r="G14" s="62"/>
      <c r="H14" s="62"/>
      <c r="I14" s="62"/>
      <c r="J14" s="62"/>
      <c r="K14" s="56"/>
      <c r="L14" s="62"/>
      <c r="M14" s="62"/>
      <c r="N14" s="62"/>
      <c r="O14" s="62"/>
      <c r="P14" s="62"/>
      <c r="Q14" s="62"/>
      <c r="R14" s="62"/>
      <c r="S14" s="62"/>
      <c r="T14" s="62"/>
      <c r="U14" s="62"/>
      <c r="V14" s="62"/>
      <c r="W14" s="56"/>
      <c r="X14" s="56"/>
    </row>
    <row r="15" spans="1:24" ht="15.6" x14ac:dyDescent="0.3">
      <c r="A15" s="56"/>
      <c r="B15" s="61" t="s">
        <v>48</v>
      </c>
      <c r="C15" s="62"/>
      <c r="D15" s="62"/>
      <c r="E15" s="62"/>
      <c r="F15" s="62"/>
      <c r="G15" s="62"/>
      <c r="H15" s="62"/>
      <c r="I15" s="62"/>
      <c r="J15" s="62"/>
      <c r="K15" s="56"/>
      <c r="L15" s="62" t="s">
        <v>49</v>
      </c>
      <c r="M15" s="62"/>
      <c r="N15" s="62"/>
      <c r="O15" s="62"/>
      <c r="P15" s="62"/>
      <c r="Q15" s="62"/>
      <c r="R15" s="62"/>
      <c r="S15" s="62"/>
      <c r="T15" s="62"/>
      <c r="U15" s="62"/>
      <c r="V15" s="62"/>
      <c r="W15" s="56"/>
      <c r="X15" s="56"/>
    </row>
    <row r="16" spans="1:24" ht="15.6" x14ac:dyDescent="0.3">
      <c r="A16" s="56"/>
      <c r="B16" s="61"/>
      <c r="C16" s="62"/>
      <c r="D16" s="62"/>
      <c r="E16" s="62"/>
      <c r="F16" s="62"/>
      <c r="G16" s="62"/>
      <c r="H16" s="62"/>
      <c r="I16" s="62"/>
      <c r="J16" s="62"/>
      <c r="K16" s="56"/>
      <c r="L16" s="62"/>
      <c r="M16" s="62"/>
      <c r="N16" s="62"/>
      <c r="O16" s="62"/>
      <c r="P16" s="62"/>
      <c r="Q16" s="62"/>
      <c r="R16" s="62"/>
      <c r="S16" s="62"/>
      <c r="T16" s="62"/>
      <c r="U16" s="62"/>
      <c r="V16" s="62"/>
      <c r="W16" s="56"/>
      <c r="X16" s="56"/>
    </row>
    <row r="17" spans="1:24" ht="15.6" x14ac:dyDescent="0.3">
      <c r="A17" s="56"/>
      <c r="B17" s="61" t="s">
        <v>50</v>
      </c>
      <c r="C17" s="62"/>
      <c r="D17" s="62"/>
      <c r="E17" s="62"/>
      <c r="F17" s="62"/>
      <c r="G17" s="62"/>
      <c r="H17" s="62"/>
      <c r="I17" s="62"/>
      <c r="J17" s="62"/>
      <c r="K17" s="56"/>
      <c r="L17" s="62" t="s">
        <v>88</v>
      </c>
      <c r="M17" s="62"/>
      <c r="N17" s="62"/>
      <c r="O17" s="62"/>
      <c r="P17" s="62"/>
      <c r="Q17" s="62"/>
      <c r="R17" s="62"/>
      <c r="S17" s="62"/>
      <c r="T17" s="62"/>
      <c r="U17" s="62"/>
      <c r="V17" s="62"/>
      <c r="W17" s="56"/>
      <c r="X17" s="56"/>
    </row>
    <row r="18" spans="1:24" ht="15.6" x14ac:dyDescent="0.3">
      <c r="A18" s="56"/>
      <c r="B18" s="61"/>
      <c r="C18" s="62"/>
      <c r="D18" s="62"/>
      <c r="E18" s="62"/>
      <c r="F18" s="62"/>
      <c r="G18" s="62"/>
      <c r="H18" s="62"/>
      <c r="I18" s="62"/>
      <c r="J18" s="62"/>
      <c r="K18" s="56"/>
      <c r="L18" s="62"/>
      <c r="M18" s="62"/>
      <c r="N18" s="62"/>
      <c r="O18" s="62"/>
      <c r="P18" s="62"/>
      <c r="Q18" s="62"/>
      <c r="R18" s="62"/>
      <c r="S18" s="62"/>
      <c r="T18" s="62"/>
      <c r="U18" s="62"/>
      <c r="V18" s="62"/>
      <c r="W18" s="56"/>
      <c r="X18" s="56"/>
    </row>
    <row r="19" spans="1:24" ht="15.6" x14ac:dyDescent="0.3">
      <c r="A19" s="56"/>
      <c r="B19" s="61" t="s">
        <v>51</v>
      </c>
      <c r="C19" s="62"/>
      <c r="D19" s="62"/>
      <c r="E19" s="62"/>
      <c r="F19" s="62"/>
      <c r="G19" s="62"/>
      <c r="H19" s="62"/>
      <c r="I19" s="62"/>
      <c r="J19" s="62"/>
      <c r="K19" s="56"/>
      <c r="L19" s="56"/>
      <c r="M19" s="62"/>
      <c r="N19" s="62"/>
      <c r="O19" s="62"/>
      <c r="P19" s="62"/>
      <c r="Q19" s="62"/>
      <c r="R19" s="62"/>
      <c r="S19" s="62"/>
      <c r="T19" s="62"/>
      <c r="U19" s="62"/>
      <c r="V19" s="62"/>
      <c r="W19" s="62"/>
      <c r="X19" s="56"/>
    </row>
    <row r="20" spans="1:24" ht="15.6" x14ac:dyDescent="0.3">
      <c r="A20" s="56"/>
      <c r="B20" s="56"/>
      <c r="C20" s="56"/>
      <c r="D20" s="56"/>
      <c r="E20" s="56"/>
      <c r="F20" s="56"/>
      <c r="G20" s="56"/>
      <c r="H20" s="56"/>
      <c r="I20" s="56"/>
      <c r="J20" s="56"/>
      <c r="K20" s="56"/>
      <c r="L20" s="56"/>
      <c r="M20" s="62"/>
      <c r="N20" s="62"/>
      <c r="O20" s="62"/>
      <c r="P20" s="62"/>
      <c r="Q20" s="62"/>
      <c r="R20" s="62"/>
      <c r="S20" s="62"/>
      <c r="T20" s="62"/>
      <c r="U20" s="62"/>
      <c r="V20" s="62"/>
      <c r="W20" s="62"/>
      <c r="X20" s="56"/>
    </row>
    <row r="21" spans="1:24" x14ac:dyDescent="0.3">
      <c r="A21" s="56"/>
      <c r="B21" s="56"/>
      <c r="C21" s="56"/>
      <c r="D21" s="56"/>
      <c r="E21" s="56"/>
      <c r="F21" s="56"/>
      <c r="G21" s="56"/>
      <c r="H21" s="56"/>
      <c r="I21" s="56"/>
      <c r="J21" s="56"/>
      <c r="K21" s="56"/>
      <c r="L21" s="56"/>
      <c r="M21" s="56"/>
      <c r="N21" s="56"/>
      <c r="O21" s="56"/>
      <c r="P21" s="56"/>
      <c r="Q21" s="56"/>
      <c r="R21" s="56"/>
      <c r="S21" s="56"/>
      <c r="T21" s="56"/>
      <c r="U21" s="56"/>
      <c r="V21" s="56"/>
      <c r="W21" s="56"/>
      <c r="X21" s="56"/>
    </row>
    <row r="22" spans="1:24" x14ac:dyDescent="0.3">
      <c r="A22" s="56"/>
      <c r="B22" s="56"/>
      <c r="C22" s="56"/>
      <c r="D22" s="56"/>
      <c r="E22" s="56"/>
      <c r="F22" s="56"/>
      <c r="G22" s="56"/>
      <c r="H22" s="56"/>
      <c r="I22" s="56"/>
      <c r="J22" s="56"/>
      <c r="K22" s="56"/>
      <c r="L22" s="56"/>
      <c r="M22" s="56"/>
      <c r="N22" s="56"/>
      <c r="O22" s="56"/>
      <c r="P22" s="56"/>
      <c r="Q22" s="56"/>
      <c r="R22" s="56"/>
      <c r="S22" s="56"/>
      <c r="T22" s="56"/>
      <c r="U22" s="56"/>
      <c r="V22" s="56"/>
      <c r="W22" s="56"/>
      <c r="X22" s="56"/>
    </row>
    <row r="23" spans="1:24" x14ac:dyDescent="0.3">
      <c r="A23" s="56"/>
      <c r="B23" s="56"/>
      <c r="C23" s="56"/>
      <c r="D23" s="56"/>
      <c r="E23" s="56"/>
      <c r="F23" s="56"/>
      <c r="G23" s="56"/>
      <c r="H23" s="56"/>
      <c r="I23" s="56"/>
      <c r="J23" s="56"/>
      <c r="K23" s="56"/>
      <c r="L23" s="56"/>
      <c r="M23" s="56"/>
      <c r="N23" s="56"/>
      <c r="O23" s="56"/>
      <c r="P23" s="56"/>
      <c r="Q23" s="56"/>
      <c r="R23" s="56"/>
      <c r="S23" s="56"/>
      <c r="T23" s="56"/>
      <c r="U23" s="56"/>
      <c r="V23" s="56"/>
      <c r="W23" s="56"/>
      <c r="X23" s="56"/>
    </row>
    <row r="24" spans="1:24" x14ac:dyDescent="0.3">
      <c r="A24" s="56"/>
      <c r="B24" s="56"/>
      <c r="C24" s="56"/>
      <c r="D24" s="56"/>
      <c r="E24" s="56"/>
      <c r="F24" s="56"/>
      <c r="G24" s="56"/>
      <c r="H24" s="56"/>
      <c r="I24" s="56"/>
      <c r="J24" s="56"/>
      <c r="K24" s="56"/>
      <c r="L24" s="56"/>
      <c r="M24" s="56"/>
      <c r="N24" s="56"/>
      <c r="O24" s="56"/>
      <c r="P24" s="56"/>
      <c r="Q24" s="56"/>
      <c r="R24" s="56"/>
      <c r="S24" s="56"/>
      <c r="T24" s="56"/>
      <c r="U24" s="56"/>
      <c r="V24" s="56"/>
      <c r="W24" s="56"/>
      <c r="X24" s="56"/>
    </row>
    <row r="25" spans="1:24" x14ac:dyDescent="0.3">
      <c r="A25" s="56"/>
      <c r="B25" s="56"/>
      <c r="C25" s="56"/>
      <c r="D25" s="56"/>
      <c r="E25" s="56"/>
      <c r="F25" s="56"/>
      <c r="G25" s="56"/>
      <c r="H25" s="56"/>
      <c r="I25" s="56"/>
      <c r="J25" s="56"/>
      <c r="K25" s="56"/>
      <c r="L25" s="56"/>
      <c r="M25" s="56"/>
      <c r="N25" s="56"/>
      <c r="O25" s="56"/>
      <c r="P25" s="56"/>
      <c r="Q25" s="56"/>
      <c r="R25" s="56"/>
      <c r="S25" s="56"/>
      <c r="T25" s="56"/>
      <c r="U25" s="56"/>
      <c r="V25" s="56"/>
      <c r="W25" s="56"/>
      <c r="X25" s="56"/>
    </row>
    <row r="26" spans="1:24" x14ac:dyDescent="0.3">
      <c r="A26" s="56"/>
      <c r="B26" s="56"/>
      <c r="C26" s="56"/>
      <c r="D26" s="56"/>
      <c r="E26" s="56"/>
      <c r="F26" s="56"/>
      <c r="G26" s="56"/>
      <c r="H26" s="56"/>
      <c r="I26" s="56"/>
      <c r="J26" s="56"/>
      <c r="K26" s="56"/>
      <c r="L26" s="56"/>
      <c r="M26" s="56"/>
      <c r="N26" s="56"/>
      <c r="O26" s="56"/>
      <c r="P26" s="56"/>
      <c r="Q26" s="56"/>
      <c r="R26" s="56"/>
      <c r="S26" s="56"/>
      <c r="T26" s="56"/>
      <c r="U26" s="56"/>
      <c r="V26" s="56"/>
      <c r="W26" s="56"/>
      <c r="X26" s="56"/>
    </row>
    <row r="27" spans="1:24" x14ac:dyDescent="0.3">
      <c r="A27" s="56"/>
      <c r="B27" s="56"/>
      <c r="C27" s="56"/>
      <c r="D27" s="56"/>
      <c r="E27" s="56"/>
      <c r="F27" s="56"/>
      <c r="G27" s="56"/>
      <c r="H27" s="56"/>
      <c r="I27" s="56"/>
      <c r="J27" s="56"/>
      <c r="K27" s="56"/>
      <c r="L27" s="56"/>
      <c r="M27" s="56"/>
      <c r="N27" s="56"/>
      <c r="O27" s="56"/>
      <c r="P27" s="56"/>
      <c r="Q27" s="56"/>
      <c r="R27" s="56"/>
      <c r="S27" s="56"/>
      <c r="T27" s="56"/>
      <c r="U27" s="56"/>
      <c r="V27" s="56"/>
      <c r="W27" s="56"/>
      <c r="X27" s="56"/>
    </row>
  </sheetData>
  <mergeCells count="1">
    <mergeCell ref="B2:V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2653F-C1B8-4911-BF68-3BCDDBA1CC0D}">
  <dimension ref="B2:W35"/>
  <sheetViews>
    <sheetView showGridLines="0" workbookViewId="0">
      <selection activeCell="M31" sqref="M31"/>
    </sheetView>
  </sheetViews>
  <sheetFormatPr defaultRowHeight="14.4" x14ac:dyDescent="0.3"/>
  <cols>
    <col min="1" max="1" width="3.6640625" customWidth="1"/>
    <col min="2" max="3" width="11.33203125" customWidth="1"/>
    <col min="4" max="4" width="9.6640625" customWidth="1"/>
    <col min="5" max="5" width="12.33203125" customWidth="1"/>
    <col min="6" max="6" width="11.6640625" customWidth="1"/>
    <col min="7" max="7" width="11.33203125" customWidth="1"/>
    <col min="8" max="8" width="16.5546875" customWidth="1"/>
    <col min="9" max="9" width="14" bestFit="1" customWidth="1"/>
    <col min="10" max="10" width="15.109375" customWidth="1"/>
    <col min="11" max="11" width="14.21875" customWidth="1"/>
    <col min="12" max="12" width="9.88671875" customWidth="1"/>
    <col min="13" max="13" width="10.21875" customWidth="1"/>
    <col min="14" max="14" width="10.77734375" customWidth="1"/>
    <col min="15" max="15" width="12.33203125" customWidth="1"/>
    <col min="16" max="16" width="10.5546875" customWidth="1"/>
    <col min="17" max="17" width="10.109375" customWidth="1"/>
    <col min="18" max="18" width="16.77734375" customWidth="1"/>
  </cols>
  <sheetData>
    <row r="2" spans="2:23" ht="28.8" x14ac:dyDescent="0.55000000000000004">
      <c r="B2" s="70" t="s">
        <v>53</v>
      </c>
      <c r="C2" s="70"/>
      <c r="D2" s="70"/>
      <c r="E2" s="70"/>
      <c r="F2" s="70"/>
      <c r="G2" s="70"/>
      <c r="H2" s="70"/>
      <c r="I2" s="70"/>
      <c r="J2" s="70"/>
      <c r="K2" s="70"/>
      <c r="L2" s="70"/>
      <c r="M2" s="70"/>
      <c r="N2" s="70"/>
      <c r="O2" s="70"/>
      <c r="P2" s="70"/>
      <c r="Q2" s="70"/>
      <c r="R2" s="70"/>
      <c r="S2" s="10"/>
      <c r="T2" s="10"/>
      <c r="U2" s="10"/>
      <c r="V2" s="10"/>
      <c r="W2" s="10"/>
    </row>
    <row r="4" spans="2:23" ht="15" thickBot="1" x14ac:dyDescent="0.35"/>
    <row r="5" spans="2:23" ht="15.6" customHeight="1" thickBot="1" x14ac:dyDescent="0.35">
      <c r="B5" s="97" t="s">
        <v>55</v>
      </c>
      <c r="C5" s="98"/>
      <c r="E5" s="74" t="s">
        <v>56</v>
      </c>
      <c r="F5" s="75"/>
      <c r="H5" s="74" t="s">
        <v>59</v>
      </c>
      <c r="I5" s="75"/>
      <c r="K5" s="74" t="s">
        <v>61</v>
      </c>
      <c r="L5" s="75"/>
      <c r="N5" s="74" t="s">
        <v>62</v>
      </c>
      <c r="O5" s="75"/>
      <c r="Q5" s="74" t="s">
        <v>63</v>
      </c>
      <c r="R5" s="75"/>
    </row>
    <row r="6" spans="2:23" ht="20.399999999999999" customHeight="1" thickBot="1" x14ac:dyDescent="0.35">
      <c r="B6" s="5" t="s">
        <v>54</v>
      </c>
      <c r="C6" s="9">
        <f>SUM('online shopping data'!G2:G1001)</f>
        <v>78181408</v>
      </c>
      <c r="E6" s="20" t="s">
        <v>57</v>
      </c>
      <c r="F6" s="21">
        <f>AVERAGE('online shopping data'!G2:G1001)</f>
        <v>78181.407999999996</v>
      </c>
      <c r="H6" s="20" t="s">
        <v>58</v>
      </c>
      <c r="I6" s="21">
        <f>COUNT('online shopping data'!A2:A1001)</f>
        <v>1000</v>
      </c>
      <c r="K6" s="20" t="s">
        <v>60</v>
      </c>
      <c r="L6" s="21">
        <f>COUNTIF('online shopping data'!O2:O1001,"Returned")</f>
        <v>486</v>
      </c>
      <c r="N6" s="6" t="s">
        <v>1</v>
      </c>
      <c r="O6" s="7" t="s">
        <v>4</v>
      </c>
      <c r="Q6" s="6" t="s">
        <v>7</v>
      </c>
      <c r="R6" s="7" t="s">
        <v>4</v>
      </c>
    </row>
    <row r="7" spans="2:23" ht="21" customHeight="1" thickBot="1" x14ac:dyDescent="0.35">
      <c r="N7" s="8" t="s">
        <v>14</v>
      </c>
      <c r="O7" s="4">
        <f>SUMIF('online shopping data'!D2:D1001,Answers!N7,'online shopping data'!G2:G1001)</f>
        <v>28103279</v>
      </c>
      <c r="Q7" s="8" t="s">
        <v>35</v>
      </c>
      <c r="R7" s="4">
        <f>SUMIF('online shopping data'!J2:J1001,Answers!Q7,'online shopping data'!G2:G1001)</f>
        <v>16568982</v>
      </c>
    </row>
    <row r="8" spans="2:23" ht="16.8" customHeight="1" thickBot="1" x14ac:dyDescent="0.4">
      <c r="B8" s="71" t="s">
        <v>67</v>
      </c>
      <c r="C8" s="72"/>
      <c r="D8" s="72"/>
      <c r="E8" s="72"/>
      <c r="F8" s="72"/>
      <c r="G8" s="73"/>
    </row>
    <row r="9" spans="2:23" ht="16.8" customHeight="1" thickBot="1" x14ac:dyDescent="0.4">
      <c r="B9" s="14"/>
      <c r="G9" s="15"/>
      <c r="I9" s="71" t="s">
        <v>69</v>
      </c>
      <c r="J9" s="76"/>
      <c r="K9" s="76"/>
      <c r="L9" s="76"/>
      <c r="M9" s="76"/>
      <c r="N9" s="76"/>
      <c r="O9" s="76"/>
      <c r="P9" s="76"/>
      <c r="Q9" s="77"/>
    </row>
    <row r="10" spans="2:23" ht="16.2" thickBot="1" x14ac:dyDescent="0.35">
      <c r="B10" s="36" t="s">
        <v>0</v>
      </c>
      <c r="C10" s="37" t="s">
        <v>1</v>
      </c>
      <c r="D10" s="38" t="s">
        <v>2</v>
      </c>
      <c r="F10" s="74" t="s">
        <v>64</v>
      </c>
      <c r="G10" s="75"/>
      <c r="I10" s="14"/>
      <c r="Q10" s="15"/>
    </row>
    <row r="11" spans="2:23" ht="15.6" x14ac:dyDescent="0.3">
      <c r="B11" s="24" t="s">
        <v>13</v>
      </c>
      <c r="C11" s="23" t="s">
        <v>25</v>
      </c>
      <c r="D11" s="25">
        <v>40335</v>
      </c>
      <c r="F11" s="6" t="s">
        <v>0</v>
      </c>
      <c r="G11" s="7" t="s">
        <v>1</v>
      </c>
      <c r="I11" s="16" t="s">
        <v>1</v>
      </c>
      <c r="J11" s="23" t="s">
        <v>25</v>
      </c>
      <c r="K11" s="23" t="s">
        <v>14</v>
      </c>
      <c r="L11" s="23" t="s">
        <v>14</v>
      </c>
      <c r="M11" s="23" t="s">
        <v>14</v>
      </c>
      <c r="N11" s="23" t="s">
        <v>20</v>
      </c>
      <c r="O11" s="23" t="s">
        <v>25</v>
      </c>
      <c r="P11" s="23" t="s">
        <v>20</v>
      </c>
      <c r="Q11" s="25" t="s">
        <v>20</v>
      </c>
    </row>
    <row r="12" spans="2:23" ht="16.2" thickBot="1" x14ac:dyDescent="0.35">
      <c r="B12" s="24" t="s">
        <v>19</v>
      </c>
      <c r="C12" s="23" t="s">
        <v>14</v>
      </c>
      <c r="D12" s="25">
        <v>13653</v>
      </c>
      <c r="F12" s="8" t="s">
        <v>19</v>
      </c>
      <c r="G12" s="4" t="str">
        <f>VLOOKUP(F12,B10:D24,2,0)</f>
        <v>Electronics</v>
      </c>
      <c r="I12" s="17" t="s">
        <v>10</v>
      </c>
      <c r="J12" s="26">
        <v>0.21698388496343127</v>
      </c>
      <c r="K12" s="26">
        <v>0.26642020068849337</v>
      </c>
      <c r="L12" s="26">
        <v>0.19585315897274302</v>
      </c>
      <c r="M12" s="26">
        <v>6.4998205795281233E-2</v>
      </c>
      <c r="N12" s="26">
        <v>8.8939681567666865E-2</v>
      </c>
      <c r="O12" s="26">
        <v>0.2791309600862999</v>
      </c>
      <c r="P12" s="26">
        <v>0.26843981766216851</v>
      </c>
      <c r="Q12" s="27">
        <v>0.2178510319055573</v>
      </c>
    </row>
    <row r="13" spans="2:23" ht="15" thickBot="1" x14ac:dyDescent="0.35">
      <c r="B13" s="24" t="s">
        <v>23</v>
      </c>
      <c r="C13" s="23" t="s">
        <v>14</v>
      </c>
      <c r="D13" s="25">
        <v>38082</v>
      </c>
      <c r="G13" s="15"/>
      <c r="I13" s="14"/>
      <c r="Q13" s="15"/>
    </row>
    <row r="14" spans="2:23" ht="15" thickBot="1" x14ac:dyDescent="0.35">
      <c r="B14" s="24" t="s">
        <v>23</v>
      </c>
      <c r="C14" s="23" t="s">
        <v>14</v>
      </c>
      <c r="D14" s="25">
        <v>22294</v>
      </c>
      <c r="G14" s="15"/>
      <c r="I14" s="14"/>
      <c r="K14" s="74" t="s">
        <v>68</v>
      </c>
      <c r="L14" s="75"/>
      <c r="Q14" s="15"/>
    </row>
    <row r="15" spans="2:23" ht="15" thickBot="1" x14ac:dyDescent="0.35">
      <c r="B15" s="24" t="s">
        <v>29</v>
      </c>
      <c r="C15" s="23" t="s">
        <v>20</v>
      </c>
      <c r="D15" s="25">
        <v>8165</v>
      </c>
      <c r="F15" s="74" t="s">
        <v>65</v>
      </c>
      <c r="G15" s="75"/>
      <c r="I15" s="14"/>
      <c r="K15" s="6" t="s">
        <v>1</v>
      </c>
      <c r="L15" s="7" t="s">
        <v>10</v>
      </c>
      <c r="Q15" s="15"/>
    </row>
    <row r="16" spans="2:23" ht="15" thickBot="1" x14ac:dyDescent="0.35">
      <c r="B16" s="24" t="s">
        <v>32</v>
      </c>
      <c r="C16" s="23" t="s">
        <v>25</v>
      </c>
      <c r="D16" s="25">
        <v>37080</v>
      </c>
      <c r="F16" s="6" t="s">
        <v>66</v>
      </c>
      <c r="G16" s="7" t="s">
        <v>2</v>
      </c>
      <c r="I16" s="14"/>
      <c r="K16" s="8" t="s">
        <v>25</v>
      </c>
      <c r="L16" s="13">
        <f>HLOOKUP(K16,I11:Q12,2,0)</f>
        <v>0.21698388496343127</v>
      </c>
      <c r="Q16" s="15"/>
    </row>
    <row r="17" spans="2:18" ht="15" thickBot="1" x14ac:dyDescent="0.35">
      <c r="B17" s="24" t="s">
        <v>29</v>
      </c>
      <c r="C17" s="23" t="s">
        <v>20</v>
      </c>
      <c r="D17" s="25">
        <v>27641</v>
      </c>
      <c r="F17" s="8" t="s">
        <v>34</v>
      </c>
      <c r="G17" s="4">
        <f>VLOOKUP(F17,B10:D24,3,0)</f>
        <v>48951</v>
      </c>
      <c r="I17" s="2"/>
      <c r="J17" s="18"/>
      <c r="K17" s="18"/>
      <c r="L17" s="18"/>
      <c r="M17" s="18"/>
      <c r="N17" s="18"/>
      <c r="O17" s="18"/>
      <c r="P17" s="18"/>
      <c r="Q17" s="3"/>
    </row>
    <row r="18" spans="2:18" x14ac:dyDescent="0.3">
      <c r="B18" s="24" t="s">
        <v>29</v>
      </c>
      <c r="C18" s="23" t="s">
        <v>20</v>
      </c>
      <c r="D18" s="39">
        <v>35323</v>
      </c>
      <c r="G18" s="15"/>
    </row>
    <row r="19" spans="2:18" ht="15" thickBot="1" x14ac:dyDescent="0.35">
      <c r="B19" s="24" t="s">
        <v>34</v>
      </c>
      <c r="C19" s="28" t="s">
        <v>14</v>
      </c>
      <c r="D19" s="25">
        <v>48951</v>
      </c>
      <c r="G19" s="15"/>
    </row>
    <row r="20" spans="2:18" ht="14.4" customHeight="1" thickBot="1" x14ac:dyDescent="0.35">
      <c r="B20" s="24" t="s">
        <v>32</v>
      </c>
      <c r="C20" s="23" t="s">
        <v>25</v>
      </c>
      <c r="D20" s="34">
        <v>3128</v>
      </c>
      <c r="F20" s="87" t="s">
        <v>89</v>
      </c>
      <c r="G20" s="88"/>
      <c r="I20" s="80" t="s">
        <v>80</v>
      </c>
      <c r="J20" s="89"/>
      <c r="L20" s="87" t="s">
        <v>73</v>
      </c>
      <c r="M20" s="95"/>
      <c r="N20" s="95"/>
      <c r="O20" s="88"/>
      <c r="Q20" s="87" t="s">
        <v>74</v>
      </c>
      <c r="R20" s="88"/>
    </row>
    <row r="21" spans="2:18" ht="16.8" customHeight="1" x14ac:dyDescent="0.3">
      <c r="B21" s="24" t="s">
        <v>32</v>
      </c>
      <c r="C21" s="23" t="s">
        <v>25</v>
      </c>
      <c r="D21" s="25">
        <v>26619</v>
      </c>
      <c r="F21" s="24" t="s">
        <v>86</v>
      </c>
      <c r="G21" s="25" t="s">
        <v>87</v>
      </c>
      <c r="I21" s="85" t="s">
        <v>79</v>
      </c>
      <c r="J21" s="86"/>
      <c r="L21" s="92" t="s">
        <v>72</v>
      </c>
      <c r="M21" s="93"/>
      <c r="N21" s="93"/>
      <c r="O21" s="94"/>
      <c r="Q21" s="96" t="s">
        <v>75</v>
      </c>
      <c r="R21" s="94"/>
    </row>
    <row r="22" spans="2:18" ht="16.2" customHeight="1" thickBot="1" x14ac:dyDescent="0.35">
      <c r="B22" s="24" t="s">
        <v>23</v>
      </c>
      <c r="C22" s="23" t="s">
        <v>14</v>
      </c>
      <c r="D22" s="25">
        <v>35187</v>
      </c>
      <c r="F22" s="8" t="s">
        <v>23</v>
      </c>
      <c r="G22" s="4" t="str">
        <f>IF(ISNA(VLOOKUP(F22,B11:C25,1,0)),"Invalid","Valid")</f>
        <v>Valid</v>
      </c>
      <c r="I22" s="31" t="s">
        <v>4</v>
      </c>
      <c r="J22" s="32" t="s">
        <v>78</v>
      </c>
      <c r="L22" s="8" t="s">
        <v>70</v>
      </c>
      <c r="M22" s="19">
        <f>MAX('online shopping data'!G2:G1001)</f>
        <v>249460</v>
      </c>
      <c r="N22" s="22" t="s">
        <v>71</v>
      </c>
      <c r="O22" s="4">
        <f>MIN('online shopping data'!G2:G1001)</f>
        <v>603</v>
      </c>
      <c r="Q22" s="83" t="s">
        <v>76</v>
      </c>
      <c r="R22" s="84"/>
    </row>
    <row r="23" spans="2:18" ht="17.399999999999999" customHeight="1" thickBot="1" x14ac:dyDescent="0.35">
      <c r="B23" s="24" t="s">
        <v>19</v>
      </c>
      <c r="C23" s="23" t="s">
        <v>14</v>
      </c>
      <c r="D23" s="25">
        <v>45423</v>
      </c>
      <c r="G23" s="15"/>
      <c r="I23" s="24">
        <v>161340</v>
      </c>
      <c r="J23" s="33" t="str">
        <f>IF(I23&gt;50000,"High Sale","Low Sale")</f>
        <v>High Sale</v>
      </c>
      <c r="Q23" s="8" t="s">
        <v>77</v>
      </c>
      <c r="R23" s="13">
        <f>('online shopping data'!G2-'online shopping data'!M2)-('online shopping data'!E2*0.7*'online shopping data'!F2)</f>
        <v>48401.783016115049</v>
      </c>
    </row>
    <row r="24" spans="2:18" ht="15" thickBot="1" x14ac:dyDescent="0.35">
      <c r="B24" s="40" t="s">
        <v>34</v>
      </c>
      <c r="C24" s="29" t="s">
        <v>14</v>
      </c>
      <c r="D24" s="39">
        <v>36008</v>
      </c>
      <c r="G24" s="15"/>
      <c r="I24" s="24">
        <v>54612</v>
      </c>
      <c r="J24" s="33" t="str">
        <f t="shared" ref="J24:J35" si="0">IF(I24&gt;50000,"High Sale","Low Sale")</f>
        <v>High Sale</v>
      </c>
      <c r="R24" s="12"/>
    </row>
    <row r="25" spans="2:18" ht="15" thickBot="1" x14ac:dyDescent="0.35">
      <c r="B25" s="41"/>
      <c r="C25" s="42"/>
      <c r="D25" s="21"/>
      <c r="G25" s="15"/>
      <c r="I25" s="24">
        <v>38082</v>
      </c>
      <c r="J25" s="33" t="str">
        <f t="shared" si="0"/>
        <v>Low Sale</v>
      </c>
      <c r="L25" s="80" t="s">
        <v>83</v>
      </c>
      <c r="M25" s="81"/>
      <c r="N25" s="82"/>
      <c r="P25" s="80" t="s">
        <v>85</v>
      </c>
      <c r="Q25" s="81"/>
      <c r="R25" s="82"/>
    </row>
    <row r="26" spans="2:18" ht="15" thickBot="1" x14ac:dyDescent="0.35">
      <c r="B26" s="2"/>
      <c r="C26" s="18"/>
      <c r="D26" s="18"/>
      <c r="E26" s="18"/>
      <c r="F26" s="18"/>
      <c r="G26" s="3"/>
      <c r="I26" s="24">
        <v>22294</v>
      </c>
      <c r="J26" s="33" t="str">
        <f t="shared" si="0"/>
        <v>Low Sale</v>
      </c>
      <c r="L26" s="90" t="s">
        <v>81</v>
      </c>
      <c r="M26" s="91"/>
      <c r="N26" s="34" t="s">
        <v>82</v>
      </c>
      <c r="P26" s="35" t="s">
        <v>1</v>
      </c>
      <c r="Q26" s="30" t="s">
        <v>7</v>
      </c>
      <c r="R26" s="34" t="s">
        <v>84</v>
      </c>
    </row>
    <row r="27" spans="2:18" ht="15" thickBot="1" x14ac:dyDescent="0.35">
      <c r="I27" s="24">
        <v>32660</v>
      </c>
      <c r="J27" s="33" t="str">
        <f t="shared" si="0"/>
        <v>Low Sale</v>
      </c>
      <c r="L27" s="78" t="s">
        <v>33</v>
      </c>
      <c r="M27" s="79"/>
      <c r="N27" s="4">
        <f>COUNTIF('online shopping data'!I2:I1001,Answers!L27)</f>
        <v>241</v>
      </c>
      <c r="P27" s="8" t="s">
        <v>25</v>
      </c>
      <c r="Q27" s="22" t="s">
        <v>21</v>
      </c>
      <c r="R27" s="4">
        <f>SUMIFS('online shopping data'!G2:G1001,'online shopping data'!D2:D1001,Answers!P27,'online shopping data'!J2:J1001,Answers!Q27)</f>
        <v>5316972</v>
      </c>
    </row>
    <row r="28" spans="2:18" x14ac:dyDescent="0.3">
      <c r="I28" s="24">
        <v>185400</v>
      </c>
      <c r="J28" s="33" t="str">
        <f t="shared" si="0"/>
        <v>High Sale</v>
      </c>
    </row>
    <row r="29" spans="2:18" x14ac:dyDescent="0.3">
      <c r="I29" s="24">
        <v>55282</v>
      </c>
      <c r="J29" s="33" t="str">
        <f t="shared" si="0"/>
        <v>High Sale</v>
      </c>
    </row>
    <row r="30" spans="2:18" x14ac:dyDescent="0.3">
      <c r="I30" s="24">
        <v>176615</v>
      </c>
      <c r="J30" s="33" t="str">
        <f t="shared" si="0"/>
        <v>High Sale</v>
      </c>
    </row>
    <row r="31" spans="2:18" x14ac:dyDescent="0.3">
      <c r="I31" s="24">
        <v>195804</v>
      </c>
      <c r="J31" s="33" t="str">
        <f t="shared" si="0"/>
        <v>High Sale</v>
      </c>
    </row>
    <row r="32" spans="2:18" x14ac:dyDescent="0.3">
      <c r="I32" s="24">
        <v>12512</v>
      </c>
      <c r="J32" s="33" t="str">
        <f t="shared" si="0"/>
        <v>Low Sale</v>
      </c>
    </row>
    <row r="33" spans="9:10" x14ac:dyDescent="0.3">
      <c r="I33" s="24">
        <v>79857</v>
      </c>
      <c r="J33" s="33" t="str">
        <f t="shared" si="0"/>
        <v>High Sale</v>
      </c>
    </row>
    <row r="34" spans="9:10" x14ac:dyDescent="0.3">
      <c r="I34" s="24">
        <v>35187</v>
      </c>
      <c r="J34" s="33" t="str">
        <f t="shared" si="0"/>
        <v>Low Sale</v>
      </c>
    </row>
    <row r="35" spans="9:10" ht="15" thickBot="1" x14ac:dyDescent="0.35">
      <c r="I35" s="8">
        <v>136269</v>
      </c>
      <c r="J35" s="4" t="str">
        <f t="shared" si="0"/>
        <v>High Sale</v>
      </c>
    </row>
  </sheetData>
  <mergeCells count="24">
    <mergeCell ref="Q5:R5"/>
    <mergeCell ref="B2:R2"/>
    <mergeCell ref="L21:O21"/>
    <mergeCell ref="L20:O20"/>
    <mergeCell ref="Q20:R20"/>
    <mergeCell ref="Q21:R21"/>
    <mergeCell ref="B5:C5"/>
    <mergeCell ref="E5:F5"/>
    <mergeCell ref="H5:I5"/>
    <mergeCell ref="K5:L5"/>
    <mergeCell ref="N5:O5"/>
    <mergeCell ref="F10:G10"/>
    <mergeCell ref="F15:G15"/>
    <mergeCell ref="B8:G8"/>
    <mergeCell ref="K14:L14"/>
    <mergeCell ref="I9:Q9"/>
    <mergeCell ref="L27:M27"/>
    <mergeCell ref="L25:N25"/>
    <mergeCell ref="P25:R25"/>
    <mergeCell ref="Q22:R22"/>
    <mergeCell ref="I21:J21"/>
    <mergeCell ref="F20:G20"/>
    <mergeCell ref="I20:J20"/>
    <mergeCell ref="L26:M26"/>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48DF8-B6D5-4E7A-8AB3-79EE5B8EA7FE}">
  <dimension ref="A1:P27"/>
  <sheetViews>
    <sheetView showGridLines="0" zoomScaleNormal="100" workbookViewId="0">
      <selection activeCell="D8" sqref="D8"/>
    </sheetView>
  </sheetViews>
  <sheetFormatPr defaultRowHeight="14.4" x14ac:dyDescent="0.3"/>
  <cols>
    <col min="1" max="1" width="6" customWidth="1"/>
    <col min="2" max="2" width="12.5546875" bestFit="1" customWidth="1"/>
    <col min="3" max="3" width="19.21875" bestFit="1" customWidth="1"/>
    <col min="4" max="4" width="12.109375" bestFit="1" customWidth="1"/>
    <col min="5" max="5" width="12.6640625" customWidth="1"/>
    <col min="6" max="6" width="19.21875" bestFit="1" customWidth="1"/>
    <col min="7" max="7" width="15.5546875" bestFit="1" customWidth="1"/>
    <col min="8" max="11" width="9" bestFit="1" customWidth="1"/>
    <col min="12" max="12" width="10.77734375" bestFit="1" customWidth="1"/>
    <col min="13" max="13" width="6.44140625" customWidth="1"/>
    <col min="14" max="14" width="12.5546875" bestFit="1" customWidth="1"/>
    <col min="15" max="15" width="19.21875" bestFit="1" customWidth="1"/>
  </cols>
  <sheetData>
    <row r="1" spans="1:16" ht="28.8" x14ac:dyDescent="0.55000000000000004">
      <c r="A1" s="99" t="s">
        <v>120</v>
      </c>
      <c r="B1" s="99"/>
      <c r="C1" s="99"/>
      <c r="D1" s="99"/>
      <c r="E1" s="99"/>
      <c r="F1" s="99"/>
      <c r="G1" s="99"/>
      <c r="H1" s="99"/>
      <c r="I1" s="99"/>
      <c r="J1" s="99"/>
      <c r="K1" s="99"/>
      <c r="L1" s="99"/>
      <c r="M1" s="99"/>
      <c r="N1" s="99"/>
      <c r="O1" s="99"/>
      <c r="P1" s="57"/>
    </row>
    <row r="2" spans="1:16" s="43" customFormat="1" ht="18.600000000000001" thickBot="1" x14ac:dyDescent="0.4">
      <c r="H2"/>
    </row>
    <row r="3" spans="1:16" ht="18.600000000000001" thickBot="1" x14ac:dyDescent="0.4">
      <c r="B3" s="53" t="s">
        <v>93</v>
      </c>
      <c r="C3" s="54"/>
      <c r="F3" s="103" t="s">
        <v>94</v>
      </c>
      <c r="G3" s="104"/>
      <c r="J3" s="103" t="s">
        <v>96</v>
      </c>
      <c r="K3" s="104"/>
      <c r="N3" s="103" t="s">
        <v>98</v>
      </c>
      <c r="O3" s="104"/>
    </row>
    <row r="4" spans="1:16" ht="15" thickBot="1" x14ac:dyDescent="0.35">
      <c r="B4" s="111" t="s">
        <v>90</v>
      </c>
      <c r="C4" s="116" t="s">
        <v>92</v>
      </c>
      <c r="F4" s="47" t="s">
        <v>90</v>
      </c>
      <c r="G4" s="52" t="s">
        <v>92</v>
      </c>
      <c r="J4" s="47" t="s">
        <v>90</v>
      </c>
      <c r="K4" s="52" t="s">
        <v>95</v>
      </c>
      <c r="N4" s="47" t="s">
        <v>90</v>
      </c>
      <c r="O4" s="52" t="s">
        <v>97</v>
      </c>
    </row>
    <row r="5" spans="1:16" x14ac:dyDescent="0.3">
      <c r="B5" s="112" t="s">
        <v>25</v>
      </c>
      <c r="C5" s="108">
        <v>27473470</v>
      </c>
      <c r="F5" s="48" t="s">
        <v>31</v>
      </c>
      <c r="G5" s="125">
        <v>15090761</v>
      </c>
      <c r="J5" s="48" t="s">
        <v>25</v>
      </c>
      <c r="K5" s="125">
        <v>3462138.7700000023</v>
      </c>
      <c r="N5" s="48" t="s">
        <v>13</v>
      </c>
      <c r="O5" s="125">
        <v>494</v>
      </c>
    </row>
    <row r="6" spans="1:16" x14ac:dyDescent="0.3">
      <c r="B6" s="113" t="s">
        <v>14</v>
      </c>
      <c r="C6" s="109">
        <v>28103279</v>
      </c>
      <c r="F6" s="49" t="s">
        <v>16</v>
      </c>
      <c r="G6" s="126">
        <v>15264710</v>
      </c>
      <c r="J6" s="49" t="s">
        <v>14</v>
      </c>
      <c r="K6" s="126">
        <v>3605909.5700000022</v>
      </c>
      <c r="N6" s="49" t="s">
        <v>19</v>
      </c>
      <c r="O6" s="126">
        <v>479</v>
      </c>
    </row>
    <row r="7" spans="1:16" ht="18" customHeight="1" thickBot="1" x14ac:dyDescent="0.35">
      <c r="B7" s="114" t="s">
        <v>20</v>
      </c>
      <c r="C7" s="109">
        <v>22604659</v>
      </c>
      <c r="F7" s="49" t="s">
        <v>27</v>
      </c>
      <c r="G7" s="126">
        <v>16935883</v>
      </c>
      <c r="J7" s="50" t="s">
        <v>20</v>
      </c>
      <c r="K7" s="126">
        <v>2997737.54</v>
      </c>
      <c r="N7" s="49" t="s">
        <v>34</v>
      </c>
      <c r="O7" s="126">
        <v>511</v>
      </c>
    </row>
    <row r="8" spans="1:16" ht="15" thickBot="1" x14ac:dyDescent="0.35">
      <c r="B8" s="115" t="s">
        <v>91</v>
      </c>
      <c r="C8" s="110">
        <v>78181408</v>
      </c>
      <c r="F8" s="49" t="s">
        <v>35</v>
      </c>
      <c r="G8" s="126">
        <v>16568982</v>
      </c>
      <c r="J8" s="51" t="s">
        <v>91</v>
      </c>
      <c r="K8" s="127">
        <v>10065785.880000005</v>
      </c>
      <c r="N8" s="49" t="s">
        <v>23</v>
      </c>
      <c r="O8" s="126">
        <v>431</v>
      </c>
    </row>
    <row r="9" spans="1:16" ht="16.8" customHeight="1" thickBot="1" x14ac:dyDescent="0.35">
      <c r="F9" s="50" t="s">
        <v>21</v>
      </c>
      <c r="G9" s="126">
        <v>14321072</v>
      </c>
      <c r="N9" s="49" t="s">
        <v>29</v>
      </c>
      <c r="O9" s="126">
        <v>500</v>
      </c>
    </row>
    <row r="10" spans="1:16" ht="15" thickBot="1" x14ac:dyDescent="0.35">
      <c r="F10" s="51" t="s">
        <v>91</v>
      </c>
      <c r="G10" s="127">
        <v>78181408</v>
      </c>
      <c r="N10" s="50" t="s">
        <v>32</v>
      </c>
      <c r="O10" s="126">
        <v>521</v>
      </c>
    </row>
    <row r="11" spans="1:16" ht="15" thickBot="1" x14ac:dyDescent="0.35">
      <c r="N11" s="51" t="s">
        <v>91</v>
      </c>
      <c r="O11" s="127">
        <v>2936</v>
      </c>
    </row>
    <row r="12" spans="1:16" ht="20.399999999999999" customHeight="1" thickBot="1" x14ac:dyDescent="0.4">
      <c r="B12" s="103" t="s">
        <v>99</v>
      </c>
      <c r="C12" s="104"/>
      <c r="F12" s="103" t="s">
        <v>101</v>
      </c>
      <c r="G12" s="105"/>
    </row>
    <row r="13" spans="1:16" ht="18.600000000000001" thickBot="1" x14ac:dyDescent="0.4">
      <c r="B13" s="47" t="s">
        <v>90</v>
      </c>
      <c r="C13" s="52" t="s">
        <v>92</v>
      </c>
      <c r="F13" s="47" t="s">
        <v>90</v>
      </c>
      <c r="G13" s="52" t="s">
        <v>100</v>
      </c>
      <c r="J13" s="100" t="s">
        <v>102</v>
      </c>
      <c r="K13" s="102"/>
      <c r="N13" s="106" t="s">
        <v>116</v>
      </c>
      <c r="O13" s="107"/>
    </row>
    <row r="14" spans="1:16" ht="15" thickBot="1" x14ac:dyDescent="0.35">
      <c r="B14" s="48" t="s">
        <v>15</v>
      </c>
      <c r="C14" s="125">
        <v>19421997</v>
      </c>
      <c r="F14" s="48" t="s">
        <v>18</v>
      </c>
      <c r="G14" s="125">
        <v>514</v>
      </c>
      <c r="J14" s="47" t="s">
        <v>90</v>
      </c>
      <c r="K14" s="52" t="s">
        <v>103</v>
      </c>
      <c r="N14" s="47" t="s">
        <v>90</v>
      </c>
      <c r="O14" s="52" t="s">
        <v>92</v>
      </c>
    </row>
    <row r="15" spans="1:16" ht="15" thickBot="1" x14ac:dyDescent="0.35">
      <c r="B15" s="49" t="s">
        <v>33</v>
      </c>
      <c r="C15" s="126">
        <v>20971122</v>
      </c>
      <c r="F15" s="50" t="s">
        <v>22</v>
      </c>
      <c r="G15" s="126">
        <v>486</v>
      </c>
      <c r="J15" s="48" t="s">
        <v>25</v>
      </c>
      <c r="K15" s="44">
        <v>0.17594345296280564</v>
      </c>
      <c r="N15" s="48" t="s">
        <v>104</v>
      </c>
      <c r="O15" s="125">
        <v>5941187</v>
      </c>
    </row>
    <row r="16" spans="1:16" ht="15" thickBot="1" x14ac:dyDescent="0.35">
      <c r="B16" s="49" t="s">
        <v>26</v>
      </c>
      <c r="C16" s="126">
        <v>17709762</v>
      </c>
      <c r="F16" s="51" t="s">
        <v>91</v>
      </c>
      <c r="G16" s="127">
        <v>1000</v>
      </c>
      <c r="J16" s="49" t="s">
        <v>14</v>
      </c>
      <c r="K16" s="45">
        <v>0.17308428598324735</v>
      </c>
      <c r="N16" s="49" t="s">
        <v>105</v>
      </c>
      <c r="O16" s="126">
        <v>6434381</v>
      </c>
    </row>
    <row r="17" spans="2:15" ht="15" thickBot="1" x14ac:dyDescent="0.35">
      <c r="B17" s="50" t="s">
        <v>30</v>
      </c>
      <c r="C17" s="126">
        <v>20078527</v>
      </c>
      <c r="J17" s="50" t="s">
        <v>20</v>
      </c>
      <c r="K17" s="45">
        <v>0.17153365249263772</v>
      </c>
      <c r="N17" s="49" t="s">
        <v>106</v>
      </c>
      <c r="O17" s="126">
        <v>7257561</v>
      </c>
    </row>
    <row r="18" spans="2:15" ht="15" thickBot="1" x14ac:dyDescent="0.35">
      <c r="B18" s="51" t="s">
        <v>91</v>
      </c>
      <c r="C18" s="127">
        <v>78181408</v>
      </c>
      <c r="J18" s="51" t="s">
        <v>91</v>
      </c>
      <c r="K18" s="46">
        <v>0.17362600691287217</v>
      </c>
      <c r="N18" s="49" t="s">
        <v>107</v>
      </c>
      <c r="O18" s="126">
        <v>5845654</v>
      </c>
    </row>
    <row r="19" spans="2:15" x14ac:dyDescent="0.3">
      <c r="N19" s="49" t="s">
        <v>108</v>
      </c>
      <c r="O19" s="126">
        <v>6832407</v>
      </c>
    </row>
    <row r="20" spans="2:15" ht="15" thickBot="1" x14ac:dyDescent="0.35">
      <c r="N20" s="49" t="s">
        <v>109</v>
      </c>
      <c r="O20" s="126">
        <v>6442679</v>
      </c>
    </row>
    <row r="21" spans="2:15" ht="18.600000000000001" thickBot="1" x14ac:dyDescent="0.4">
      <c r="B21" s="100" t="s">
        <v>119</v>
      </c>
      <c r="C21" s="101"/>
      <c r="D21" s="102"/>
      <c r="F21" s="100" t="s">
        <v>118</v>
      </c>
      <c r="G21" s="101"/>
      <c r="H21" s="101"/>
      <c r="I21" s="101"/>
      <c r="J21" s="101"/>
      <c r="K21" s="101"/>
      <c r="L21" s="102"/>
      <c r="N21" s="49" t="s">
        <v>110</v>
      </c>
      <c r="O21" s="126">
        <v>7559886</v>
      </c>
    </row>
    <row r="22" spans="2:15" ht="15" thickBot="1" x14ac:dyDescent="0.35">
      <c r="B22" s="47" t="s">
        <v>90</v>
      </c>
      <c r="C22" s="58" t="s">
        <v>92</v>
      </c>
      <c r="D22" s="59" t="s">
        <v>95</v>
      </c>
      <c r="F22" s="47" t="s">
        <v>92</v>
      </c>
      <c r="G22" s="47" t="s">
        <v>117</v>
      </c>
      <c r="H22" s="58"/>
      <c r="I22" s="60"/>
      <c r="J22" s="60"/>
      <c r="K22" s="60"/>
      <c r="L22" s="59"/>
      <c r="N22" s="49" t="s">
        <v>111</v>
      </c>
      <c r="O22" s="126">
        <v>6259636</v>
      </c>
    </row>
    <row r="23" spans="2:15" ht="15" thickBot="1" x14ac:dyDescent="0.35">
      <c r="B23" s="48" t="s">
        <v>25</v>
      </c>
      <c r="C23" s="121">
        <v>27473470</v>
      </c>
      <c r="D23" s="122">
        <v>3462138.7700000023</v>
      </c>
      <c r="F23" s="47" t="s">
        <v>90</v>
      </c>
      <c r="G23" s="58" t="s">
        <v>31</v>
      </c>
      <c r="H23" s="60" t="s">
        <v>16</v>
      </c>
      <c r="I23" s="60" t="s">
        <v>27</v>
      </c>
      <c r="J23" s="60" t="s">
        <v>35</v>
      </c>
      <c r="K23" s="59" t="s">
        <v>21</v>
      </c>
      <c r="L23" s="52" t="s">
        <v>91</v>
      </c>
      <c r="N23" s="49" t="s">
        <v>112</v>
      </c>
      <c r="O23" s="126">
        <v>5662652</v>
      </c>
    </row>
    <row r="24" spans="2:15" x14ac:dyDescent="0.3">
      <c r="B24" s="49" t="s">
        <v>14</v>
      </c>
      <c r="C24" s="123">
        <v>28103279</v>
      </c>
      <c r="D24" s="118">
        <v>3605909.5700000022</v>
      </c>
      <c r="F24" s="48" t="s">
        <v>25</v>
      </c>
      <c r="G24" s="121">
        <v>5130999</v>
      </c>
      <c r="H24" s="128">
        <v>5364245</v>
      </c>
      <c r="I24" s="128">
        <v>5327457</v>
      </c>
      <c r="J24" s="128">
        <v>6333797</v>
      </c>
      <c r="K24" s="128">
        <v>5316972</v>
      </c>
      <c r="L24" s="122">
        <v>27473470</v>
      </c>
      <c r="N24" s="49" t="s">
        <v>113</v>
      </c>
      <c r="O24" s="126">
        <v>6580893</v>
      </c>
    </row>
    <row r="25" spans="2:15" ht="15" thickBot="1" x14ac:dyDescent="0.35">
      <c r="B25" s="50" t="s">
        <v>20</v>
      </c>
      <c r="C25" s="123">
        <v>22604659</v>
      </c>
      <c r="D25" s="118">
        <v>2997737.54</v>
      </c>
      <c r="F25" s="49" t="s">
        <v>14</v>
      </c>
      <c r="G25" s="123">
        <v>5062701</v>
      </c>
      <c r="H25" s="117">
        <v>5826523</v>
      </c>
      <c r="I25" s="117">
        <v>6470009</v>
      </c>
      <c r="J25" s="117">
        <v>5922636</v>
      </c>
      <c r="K25" s="117">
        <v>4821410</v>
      </c>
      <c r="L25" s="118">
        <v>28103279</v>
      </c>
      <c r="N25" s="49" t="s">
        <v>114</v>
      </c>
      <c r="O25" s="126">
        <v>6559214</v>
      </c>
    </row>
    <row r="26" spans="2:15" ht="15" thickBot="1" x14ac:dyDescent="0.35">
      <c r="B26" s="51" t="s">
        <v>91</v>
      </c>
      <c r="C26" s="124">
        <v>78181408</v>
      </c>
      <c r="D26" s="120">
        <v>10065785.880000005</v>
      </c>
      <c r="F26" s="50" t="s">
        <v>20</v>
      </c>
      <c r="G26" s="123">
        <v>4897061</v>
      </c>
      <c r="H26" s="117">
        <v>4073942</v>
      </c>
      <c r="I26" s="117">
        <v>5138417</v>
      </c>
      <c r="J26" s="117">
        <v>4312549</v>
      </c>
      <c r="K26" s="117">
        <v>4182690</v>
      </c>
      <c r="L26" s="118">
        <v>22604659</v>
      </c>
      <c r="N26" s="50" t="s">
        <v>115</v>
      </c>
      <c r="O26" s="126">
        <v>6805258</v>
      </c>
    </row>
    <row r="27" spans="2:15" ht="15" thickBot="1" x14ac:dyDescent="0.35">
      <c r="F27" s="51" t="s">
        <v>91</v>
      </c>
      <c r="G27" s="124">
        <v>15090761</v>
      </c>
      <c r="H27" s="119">
        <v>15264710</v>
      </c>
      <c r="I27" s="119">
        <v>16935883</v>
      </c>
      <c r="J27" s="119">
        <v>16568982</v>
      </c>
      <c r="K27" s="119">
        <v>14321072</v>
      </c>
      <c r="L27" s="120">
        <v>78181408</v>
      </c>
      <c r="N27" s="51" t="s">
        <v>91</v>
      </c>
      <c r="O27" s="127">
        <v>78181408</v>
      </c>
    </row>
  </sheetData>
  <mergeCells count="10">
    <mergeCell ref="A1:O1"/>
    <mergeCell ref="F21:L21"/>
    <mergeCell ref="B21:D21"/>
    <mergeCell ref="F3:G3"/>
    <mergeCell ref="J3:K3"/>
    <mergeCell ref="N3:O3"/>
    <mergeCell ref="B12:C12"/>
    <mergeCell ref="F12:G12"/>
    <mergeCell ref="J13:K13"/>
    <mergeCell ref="N13:O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3403E-BBC1-433F-860B-DA3A8C4A07F1}">
  <dimension ref="A1:Y173"/>
  <sheetViews>
    <sheetView workbookViewId="0">
      <selection sqref="A1:Y1"/>
    </sheetView>
  </sheetViews>
  <sheetFormatPr defaultRowHeight="14.4" x14ac:dyDescent="0.3"/>
  <sheetData>
    <row r="1" spans="1:25" ht="28.8" customHeight="1" thickBot="1" x14ac:dyDescent="0.65">
      <c r="A1" s="67" t="s">
        <v>121</v>
      </c>
      <c r="B1" s="68"/>
      <c r="C1" s="68"/>
      <c r="D1" s="68"/>
      <c r="E1" s="68"/>
      <c r="F1" s="68"/>
      <c r="G1" s="68"/>
      <c r="H1" s="68"/>
      <c r="I1" s="68"/>
      <c r="J1" s="68"/>
      <c r="K1" s="68"/>
      <c r="L1" s="68"/>
      <c r="M1" s="68"/>
      <c r="N1" s="68"/>
      <c r="O1" s="68"/>
      <c r="P1" s="68"/>
      <c r="Q1" s="68"/>
      <c r="R1" s="68"/>
      <c r="S1" s="68"/>
      <c r="T1" s="68"/>
      <c r="U1" s="68"/>
      <c r="V1" s="68"/>
      <c r="W1" s="68"/>
      <c r="X1" s="68"/>
      <c r="Y1" s="69"/>
    </row>
    <row r="2" spans="1:25" x14ac:dyDescent="0.3">
      <c r="A2" s="55"/>
      <c r="B2" s="55"/>
      <c r="C2" s="55"/>
      <c r="D2" s="55"/>
      <c r="E2" s="55"/>
      <c r="F2" s="55"/>
      <c r="G2" s="55"/>
      <c r="H2" s="55"/>
      <c r="I2" s="55"/>
      <c r="J2" s="55"/>
      <c r="K2" s="55"/>
      <c r="L2" s="55"/>
      <c r="M2" s="55"/>
      <c r="N2" s="55"/>
      <c r="O2" s="55"/>
      <c r="P2" s="55"/>
      <c r="Q2" s="55"/>
      <c r="R2" s="55"/>
      <c r="S2" s="55"/>
      <c r="T2" s="55"/>
      <c r="U2" s="55"/>
      <c r="V2" s="55"/>
      <c r="W2" s="55"/>
      <c r="X2" s="56"/>
      <c r="Y2" s="56"/>
    </row>
    <row r="3" spans="1:25" x14ac:dyDescent="0.3">
      <c r="A3" s="55"/>
      <c r="B3" s="55"/>
      <c r="C3" s="55"/>
      <c r="D3" s="55"/>
      <c r="E3" s="55"/>
      <c r="F3" s="55"/>
      <c r="G3" s="55"/>
      <c r="H3" s="55"/>
      <c r="I3" s="55"/>
      <c r="J3" s="55"/>
      <c r="K3" s="55"/>
      <c r="L3" s="55"/>
      <c r="M3" s="55"/>
      <c r="N3" s="55"/>
      <c r="O3" s="55"/>
      <c r="P3" s="55"/>
      <c r="Q3" s="55"/>
      <c r="R3" s="55"/>
      <c r="S3" s="55"/>
      <c r="T3" s="55"/>
      <c r="U3" s="55"/>
      <c r="V3" s="55"/>
      <c r="W3" s="55"/>
      <c r="X3" s="56"/>
      <c r="Y3" s="56"/>
    </row>
    <row r="4" spans="1:25" x14ac:dyDescent="0.3">
      <c r="A4" s="55"/>
      <c r="B4" s="55"/>
      <c r="C4" s="55"/>
      <c r="D4" s="55"/>
      <c r="E4" s="55"/>
      <c r="F4" s="55"/>
      <c r="G4" s="55"/>
      <c r="H4" s="55"/>
      <c r="I4" s="55"/>
      <c r="J4" s="55"/>
      <c r="K4" s="55"/>
      <c r="L4" s="55"/>
      <c r="M4" s="55"/>
      <c r="N4" s="55"/>
      <c r="O4" s="55"/>
      <c r="P4" s="55"/>
      <c r="Q4" s="55"/>
      <c r="R4" s="55"/>
      <c r="S4" s="55"/>
      <c r="T4" s="55"/>
      <c r="U4" s="55"/>
      <c r="V4" s="55"/>
      <c r="W4" s="55"/>
      <c r="X4" s="56"/>
      <c r="Y4" s="56"/>
    </row>
    <row r="5" spans="1:25" x14ac:dyDescent="0.3">
      <c r="A5" s="55"/>
      <c r="B5" s="55"/>
      <c r="C5" s="55"/>
      <c r="D5" s="55"/>
      <c r="E5" s="55"/>
      <c r="F5" s="55"/>
      <c r="G5" s="55"/>
      <c r="H5" s="55"/>
      <c r="I5" s="55"/>
      <c r="J5" s="55"/>
      <c r="K5" s="55"/>
      <c r="L5" s="55"/>
      <c r="M5" s="55"/>
      <c r="N5" s="55"/>
      <c r="O5" s="55"/>
      <c r="P5" s="55"/>
      <c r="Q5" s="55"/>
      <c r="R5" s="55"/>
      <c r="S5" s="55"/>
      <c r="T5" s="55"/>
      <c r="U5" s="55"/>
      <c r="V5" s="55"/>
      <c r="W5" s="55"/>
      <c r="X5" s="56"/>
      <c r="Y5" s="56"/>
    </row>
    <row r="6" spans="1:25" x14ac:dyDescent="0.3">
      <c r="A6" s="55"/>
      <c r="B6" s="55"/>
      <c r="C6" s="55"/>
      <c r="D6" s="55"/>
      <c r="E6" s="55"/>
      <c r="F6" s="55"/>
      <c r="G6" s="55"/>
      <c r="H6" s="55"/>
      <c r="I6" s="55"/>
      <c r="J6" s="55"/>
      <c r="K6" s="55"/>
      <c r="L6" s="55"/>
      <c r="M6" s="55"/>
      <c r="N6" s="55"/>
      <c r="O6" s="55"/>
      <c r="P6" s="55"/>
      <c r="Q6" s="55"/>
      <c r="R6" s="55"/>
      <c r="S6" s="55"/>
      <c r="T6" s="55"/>
      <c r="U6" s="55"/>
      <c r="V6" s="55"/>
      <c r="W6" s="55"/>
      <c r="X6" s="56"/>
      <c r="Y6" s="56"/>
    </row>
    <row r="7" spans="1:25" x14ac:dyDescent="0.3">
      <c r="A7" s="55"/>
      <c r="B7" s="55"/>
      <c r="C7" s="55"/>
      <c r="D7" s="55"/>
      <c r="E7" s="55"/>
      <c r="F7" s="55"/>
      <c r="G7" s="55"/>
      <c r="H7" s="55"/>
      <c r="I7" s="55"/>
      <c r="J7" s="55"/>
      <c r="K7" s="55"/>
      <c r="L7" s="55"/>
      <c r="M7" s="55"/>
      <c r="N7" s="55"/>
      <c r="O7" s="55"/>
      <c r="P7" s="55"/>
      <c r="Q7" s="55"/>
      <c r="R7" s="55"/>
      <c r="S7" s="55"/>
      <c r="T7" s="55"/>
      <c r="U7" s="55"/>
      <c r="V7" s="55"/>
      <c r="W7" s="55"/>
      <c r="X7" s="56"/>
      <c r="Y7" s="56"/>
    </row>
    <row r="8" spans="1:25" x14ac:dyDescent="0.3">
      <c r="A8" s="55"/>
      <c r="B8" s="55"/>
      <c r="C8" s="55"/>
      <c r="D8" s="55"/>
      <c r="E8" s="55"/>
      <c r="F8" s="55"/>
      <c r="G8" s="55"/>
      <c r="H8" s="55"/>
      <c r="I8" s="55"/>
      <c r="J8" s="55"/>
      <c r="K8" s="55"/>
      <c r="L8" s="55"/>
      <c r="M8" s="55"/>
      <c r="N8" s="55"/>
      <c r="O8" s="55"/>
      <c r="P8" s="55"/>
      <c r="Q8" s="55"/>
      <c r="R8" s="55"/>
      <c r="S8" s="55"/>
      <c r="T8" s="55"/>
      <c r="U8" s="55"/>
      <c r="V8" s="55"/>
      <c r="W8" s="55"/>
      <c r="X8" s="56"/>
      <c r="Y8" s="56"/>
    </row>
    <row r="9" spans="1:25" x14ac:dyDescent="0.3">
      <c r="A9" s="55"/>
      <c r="B9" s="55"/>
      <c r="C9" s="55"/>
      <c r="D9" s="55"/>
      <c r="E9" s="55"/>
      <c r="F9" s="55"/>
      <c r="G9" s="55"/>
      <c r="H9" s="55"/>
      <c r="I9" s="55"/>
      <c r="J9" s="55"/>
      <c r="K9" s="55"/>
      <c r="L9" s="55"/>
      <c r="M9" s="55"/>
      <c r="N9" s="55"/>
      <c r="O9" s="55"/>
      <c r="P9" s="55"/>
      <c r="Q9" s="55"/>
      <c r="R9" s="55"/>
      <c r="S9" s="55"/>
      <c r="T9" s="55"/>
      <c r="U9" s="55"/>
      <c r="V9" s="55"/>
      <c r="W9" s="55"/>
      <c r="X9" s="56"/>
      <c r="Y9" s="56"/>
    </row>
    <row r="10" spans="1:25" x14ac:dyDescent="0.3">
      <c r="A10" s="55"/>
      <c r="B10" s="55"/>
      <c r="C10" s="55"/>
      <c r="D10" s="55"/>
      <c r="E10" s="55"/>
      <c r="F10" s="55"/>
      <c r="G10" s="55"/>
      <c r="H10" s="55"/>
      <c r="I10" s="55"/>
      <c r="J10" s="55"/>
      <c r="K10" s="55"/>
      <c r="L10" s="55"/>
      <c r="M10" s="55"/>
      <c r="N10" s="55"/>
      <c r="O10" s="55"/>
      <c r="P10" s="55"/>
      <c r="Q10" s="55"/>
      <c r="R10" s="55"/>
      <c r="S10" s="55"/>
      <c r="T10" s="55"/>
      <c r="U10" s="55"/>
      <c r="V10" s="55"/>
      <c r="W10" s="55"/>
      <c r="X10" s="56"/>
      <c r="Y10" s="56"/>
    </row>
    <row r="11" spans="1:25" x14ac:dyDescent="0.3">
      <c r="A11" s="55"/>
      <c r="B11" s="55"/>
      <c r="C11" s="55"/>
      <c r="D11" s="55"/>
      <c r="E11" s="55"/>
      <c r="F11" s="55"/>
      <c r="G11" s="55"/>
      <c r="H11" s="55"/>
      <c r="I11" s="55"/>
      <c r="J11" s="55"/>
      <c r="K11" s="55"/>
      <c r="L11" s="55"/>
      <c r="M11" s="55"/>
      <c r="N11" s="55"/>
      <c r="O11" s="55"/>
      <c r="P11" s="55"/>
      <c r="Q11" s="55"/>
      <c r="R11" s="55"/>
      <c r="S11" s="55"/>
      <c r="T11" s="55"/>
      <c r="U11" s="55"/>
      <c r="V11" s="55"/>
      <c r="W11" s="55"/>
      <c r="X11" s="56"/>
      <c r="Y11" s="56"/>
    </row>
    <row r="12" spans="1:25" x14ac:dyDescent="0.3">
      <c r="A12" s="55"/>
      <c r="B12" s="55"/>
      <c r="C12" s="55"/>
      <c r="D12" s="55"/>
      <c r="E12" s="55"/>
      <c r="F12" s="55"/>
      <c r="G12" s="55"/>
      <c r="H12" s="55"/>
      <c r="I12" s="55"/>
      <c r="J12" s="55"/>
      <c r="K12" s="55"/>
      <c r="L12" s="55"/>
      <c r="M12" s="55"/>
      <c r="N12" s="55"/>
      <c r="O12" s="55"/>
      <c r="P12" s="55"/>
      <c r="Q12" s="55"/>
      <c r="R12" s="55"/>
      <c r="S12" s="55"/>
      <c r="T12" s="55"/>
      <c r="U12" s="55"/>
      <c r="V12" s="55"/>
      <c r="W12" s="55"/>
      <c r="X12" s="56"/>
      <c r="Y12" s="56"/>
    </row>
    <row r="13" spans="1:25" x14ac:dyDescent="0.3">
      <c r="A13" s="55"/>
      <c r="B13" s="55"/>
      <c r="C13" s="55"/>
      <c r="D13" s="55"/>
      <c r="E13" s="55"/>
      <c r="F13" s="55"/>
      <c r="G13" s="55"/>
      <c r="H13" s="55"/>
      <c r="I13" s="55"/>
      <c r="J13" s="55"/>
      <c r="K13" s="55"/>
      <c r="L13" s="55"/>
      <c r="M13" s="55"/>
      <c r="N13" s="55"/>
      <c r="O13" s="55"/>
      <c r="P13" s="55"/>
      <c r="Q13" s="55"/>
      <c r="R13" s="55"/>
      <c r="S13" s="55"/>
      <c r="T13" s="55"/>
      <c r="U13" s="55"/>
      <c r="V13" s="55"/>
      <c r="W13" s="55"/>
      <c r="X13" s="56"/>
      <c r="Y13" s="56"/>
    </row>
    <row r="14" spans="1:25" x14ac:dyDescent="0.3">
      <c r="A14" s="55"/>
      <c r="B14" s="55"/>
      <c r="C14" s="55"/>
      <c r="D14" s="55"/>
      <c r="E14" s="55"/>
      <c r="F14" s="55"/>
      <c r="G14" s="55"/>
      <c r="H14" s="55"/>
      <c r="I14" s="55"/>
      <c r="J14" s="55"/>
      <c r="K14" s="55"/>
      <c r="L14" s="55"/>
      <c r="M14" s="55"/>
      <c r="N14" s="55"/>
      <c r="O14" s="55"/>
      <c r="P14" s="55"/>
      <c r="Q14" s="55"/>
      <c r="R14" s="55"/>
      <c r="S14" s="55"/>
      <c r="T14" s="55"/>
      <c r="U14" s="55"/>
      <c r="V14" s="55"/>
      <c r="W14" s="55"/>
      <c r="X14" s="56"/>
      <c r="Y14" s="56"/>
    </row>
    <row r="15" spans="1:25" x14ac:dyDescent="0.3">
      <c r="A15" s="55"/>
      <c r="B15" s="55"/>
      <c r="C15" s="55"/>
      <c r="D15" s="55"/>
      <c r="E15" s="55"/>
      <c r="F15" s="55"/>
      <c r="G15" s="55"/>
      <c r="H15" s="55"/>
      <c r="I15" s="55"/>
      <c r="J15" s="55"/>
      <c r="K15" s="55"/>
      <c r="L15" s="55"/>
      <c r="M15" s="55"/>
      <c r="N15" s="55"/>
      <c r="O15" s="55"/>
      <c r="P15" s="55"/>
      <c r="Q15" s="55"/>
      <c r="R15" s="55"/>
      <c r="S15" s="55"/>
      <c r="T15" s="55"/>
      <c r="U15" s="55"/>
      <c r="V15" s="55"/>
      <c r="W15" s="55"/>
      <c r="X15" s="56"/>
      <c r="Y15" s="56"/>
    </row>
    <row r="16" spans="1:25" x14ac:dyDescent="0.3">
      <c r="A16" s="55"/>
      <c r="B16" s="55"/>
      <c r="C16" s="55"/>
      <c r="D16" s="55"/>
      <c r="E16" s="55"/>
      <c r="F16" s="55"/>
      <c r="G16" s="55"/>
      <c r="H16" s="55"/>
      <c r="I16" s="55"/>
      <c r="J16" s="55"/>
      <c r="K16" s="55"/>
      <c r="L16" s="55"/>
      <c r="M16" s="55"/>
      <c r="N16" s="55"/>
      <c r="O16" s="55"/>
      <c r="P16" s="55"/>
      <c r="Q16" s="55"/>
      <c r="R16" s="55"/>
      <c r="S16" s="55"/>
      <c r="T16" s="55"/>
      <c r="U16" s="55"/>
      <c r="V16" s="55"/>
      <c r="W16" s="55"/>
      <c r="X16" s="56"/>
      <c r="Y16" s="56"/>
    </row>
    <row r="17" spans="1:25" x14ac:dyDescent="0.3">
      <c r="A17" s="55"/>
      <c r="B17" s="55"/>
      <c r="C17" s="55"/>
      <c r="D17" s="55"/>
      <c r="E17" s="55"/>
      <c r="F17" s="55"/>
      <c r="G17" s="55"/>
      <c r="H17" s="55"/>
      <c r="I17" s="55"/>
      <c r="J17" s="55"/>
      <c r="K17" s="55"/>
      <c r="L17" s="55"/>
      <c r="M17" s="55"/>
      <c r="N17" s="55"/>
      <c r="O17" s="55"/>
      <c r="P17" s="55"/>
      <c r="Q17" s="55"/>
      <c r="R17" s="55"/>
      <c r="S17" s="55"/>
      <c r="T17" s="55"/>
      <c r="U17" s="55"/>
      <c r="V17" s="55"/>
      <c r="W17" s="55"/>
      <c r="X17" s="56"/>
      <c r="Y17" s="56"/>
    </row>
    <row r="18" spans="1:25" x14ac:dyDescent="0.3">
      <c r="A18" s="55"/>
      <c r="B18" s="55"/>
      <c r="C18" s="55"/>
      <c r="D18" s="55"/>
      <c r="E18" s="55"/>
      <c r="F18" s="55"/>
      <c r="G18" s="55"/>
      <c r="H18" s="55"/>
      <c r="I18" s="55"/>
      <c r="J18" s="55"/>
      <c r="K18" s="55"/>
      <c r="L18" s="55"/>
      <c r="M18" s="55"/>
      <c r="N18" s="55"/>
      <c r="O18" s="55"/>
      <c r="P18" s="55"/>
      <c r="Q18" s="55"/>
      <c r="R18" s="55"/>
      <c r="S18" s="55"/>
      <c r="T18" s="55"/>
      <c r="U18" s="55"/>
      <c r="V18" s="55"/>
      <c r="W18" s="55"/>
      <c r="X18" s="56"/>
      <c r="Y18" s="56"/>
    </row>
    <row r="19" spans="1:25" x14ac:dyDescent="0.3">
      <c r="A19" s="55"/>
      <c r="B19" s="55"/>
      <c r="C19" s="55"/>
      <c r="D19" s="55"/>
      <c r="E19" s="55"/>
      <c r="F19" s="55"/>
      <c r="G19" s="55"/>
      <c r="H19" s="55"/>
      <c r="I19" s="55"/>
      <c r="J19" s="55"/>
      <c r="K19" s="55"/>
      <c r="L19" s="55"/>
      <c r="M19" s="55"/>
      <c r="N19" s="55"/>
      <c r="O19" s="55"/>
      <c r="P19" s="55"/>
      <c r="Q19" s="55"/>
      <c r="R19" s="55"/>
      <c r="S19" s="55"/>
      <c r="T19" s="55"/>
      <c r="U19" s="55"/>
      <c r="V19" s="55"/>
      <c r="W19" s="55"/>
      <c r="X19" s="56"/>
      <c r="Y19" s="56"/>
    </row>
    <row r="20" spans="1:25" x14ac:dyDescent="0.3">
      <c r="A20" s="55"/>
      <c r="B20" s="55"/>
      <c r="C20" s="55"/>
      <c r="D20" s="55"/>
      <c r="E20" s="55"/>
      <c r="F20" s="55"/>
      <c r="G20" s="55"/>
      <c r="H20" s="55"/>
      <c r="I20" s="55"/>
      <c r="J20" s="55"/>
      <c r="K20" s="55"/>
      <c r="L20" s="55"/>
      <c r="M20" s="55"/>
      <c r="N20" s="55"/>
      <c r="O20" s="55"/>
      <c r="P20" s="55"/>
      <c r="Q20" s="55"/>
      <c r="R20" s="55"/>
      <c r="S20" s="55"/>
      <c r="T20" s="55"/>
      <c r="U20" s="55"/>
      <c r="V20" s="55"/>
      <c r="W20" s="55"/>
      <c r="X20" s="56"/>
      <c r="Y20" s="56"/>
    </row>
    <row r="21" spans="1:25" x14ac:dyDescent="0.3">
      <c r="A21" s="55"/>
      <c r="B21" s="55"/>
      <c r="C21" s="55"/>
      <c r="D21" s="55"/>
      <c r="E21" s="55"/>
      <c r="F21" s="55"/>
      <c r="G21" s="55"/>
      <c r="H21" s="55"/>
      <c r="I21" s="55"/>
      <c r="J21" s="55"/>
      <c r="K21" s="55"/>
      <c r="L21" s="55"/>
      <c r="M21" s="55"/>
      <c r="N21" s="55"/>
      <c r="O21" s="55"/>
      <c r="P21" s="55"/>
      <c r="Q21" s="55"/>
      <c r="R21" s="55"/>
      <c r="S21" s="55"/>
      <c r="T21" s="55"/>
      <c r="U21" s="55"/>
      <c r="V21" s="55"/>
      <c r="W21" s="55"/>
      <c r="X21" s="56"/>
      <c r="Y21" s="56"/>
    </row>
    <row r="22" spans="1:25" x14ac:dyDescent="0.3">
      <c r="A22" s="55"/>
      <c r="B22" s="55"/>
      <c r="C22" s="55"/>
      <c r="D22" s="55"/>
      <c r="E22" s="55"/>
      <c r="F22" s="55"/>
      <c r="G22" s="55"/>
      <c r="H22" s="55"/>
      <c r="I22" s="55"/>
      <c r="J22" s="55"/>
      <c r="K22" s="55"/>
      <c r="L22" s="55"/>
      <c r="M22" s="55"/>
      <c r="N22" s="55"/>
      <c r="O22" s="55"/>
      <c r="P22" s="55"/>
      <c r="Q22" s="55"/>
      <c r="R22" s="55"/>
      <c r="S22" s="55"/>
      <c r="T22" s="55"/>
      <c r="U22" s="55"/>
      <c r="V22" s="55"/>
      <c r="W22" s="55"/>
      <c r="X22" s="56"/>
      <c r="Y22" s="56"/>
    </row>
    <row r="23" spans="1:25" x14ac:dyDescent="0.3">
      <c r="A23" s="55"/>
      <c r="B23" s="55"/>
      <c r="C23" s="55"/>
      <c r="D23" s="55"/>
      <c r="E23" s="55"/>
      <c r="F23" s="55"/>
      <c r="G23" s="55"/>
      <c r="H23" s="55"/>
      <c r="I23" s="55"/>
      <c r="J23" s="55"/>
      <c r="K23" s="55"/>
      <c r="L23" s="55"/>
      <c r="M23" s="55"/>
      <c r="N23" s="55"/>
      <c r="O23" s="55"/>
      <c r="P23" s="55"/>
      <c r="Q23" s="55"/>
      <c r="R23" s="55"/>
      <c r="S23" s="55"/>
      <c r="T23" s="55"/>
      <c r="U23" s="55"/>
      <c r="V23" s="55"/>
      <c r="W23" s="55"/>
      <c r="X23" s="56"/>
      <c r="Y23" s="56"/>
    </row>
    <row r="24" spans="1:25" x14ac:dyDescent="0.3">
      <c r="A24" s="55"/>
      <c r="B24" s="55"/>
      <c r="C24" s="55"/>
      <c r="D24" s="55"/>
      <c r="E24" s="55"/>
      <c r="F24" s="55"/>
      <c r="G24" s="55"/>
      <c r="H24" s="55"/>
      <c r="I24" s="55"/>
      <c r="J24" s="55"/>
      <c r="K24" s="55"/>
      <c r="L24" s="55"/>
      <c r="M24" s="55"/>
      <c r="N24" s="55"/>
      <c r="O24" s="55"/>
      <c r="P24" s="55"/>
      <c r="Q24" s="55"/>
      <c r="R24" s="55"/>
      <c r="S24" s="55"/>
      <c r="T24" s="55"/>
      <c r="U24" s="55"/>
      <c r="V24" s="55"/>
      <c r="W24" s="55"/>
      <c r="X24" s="56"/>
      <c r="Y24" s="56"/>
    </row>
    <row r="25" spans="1:25" x14ac:dyDescent="0.3">
      <c r="A25" s="55"/>
      <c r="B25" s="55"/>
      <c r="C25" s="55"/>
      <c r="D25" s="55"/>
      <c r="E25" s="55"/>
      <c r="F25" s="55"/>
      <c r="G25" s="55"/>
      <c r="H25" s="55"/>
      <c r="I25" s="55"/>
      <c r="J25" s="55"/>
      <c r="K25" s="55"/>
      <c r="L25" s="55"/>
      <c r="M25" s="55"/>
      <c r="N25" s="55"/>
      <c r="O25" s="55"/>
      <c r="P25" s="55"/>
      <c r="Q25" s="55"/>
      <c r="R25" s="55"/>
      <c r="S25" s="55"/>
      <c r="T25" s="55"/>
      <c r="U25" s="55"/>
      <c r="V25" s="55"/>
      <c r="W25" s="55"/>
      <c r="X25" s="56"/>
      <c r="Y25" s="56"/>
    </row>
    <row r="26" spans="1:25" x14ac:dyDescent="0.3">
      <c r="A26" s="55"/>
      <c r="B26" s="55"/>
      <c r="C26" s="55"/>
      <c r="D26" s="55"/>
      <c r="E26" s="55"/>
      <c r="F26" s="55"/>
      <c r="G26" s="55"/>
      <c r="H26" s="55"/>
      <c r="I26" s="55"/>
      <c r="J26" s="55"/>
      <c r="K26" s="55"/>
      <c r="L26" s="55"/>
      <c r="M26" s="55"/>
      <c r="N26" s="55"/>
      <c r="O26" s="55"/>
      <c r="P26" s="55"/>
      <c r="Q26" s="55"/>
      <c r="R26" s="55"/>
      <c r="S26" s="55"/>
      <c r="T26" s="55"/>
      <c r="U26" s="55"/>
      <c r="V26" s="55"/>
      <c r="W26" s="55"/>
      <c r="X26" s="56"/>
      <c r="Y26" s="56"/>
    </row>
    <row r="27" spans="1:25" x14ac:dyDescent="0.3">
      <c r="A27" s="55"/>
      <c r="B27" s="55"/>
      <c r="C27" s="55"/>
      <c r="D27" s="55"/>
      <c r="E27" s="55"/>
      <c r="F27" s="55"/>
      <c r="G27" s="55"/>
      <c r="H27" s="55"/>
      <c r="I27" s="55"/>
      <c r="J27" s="55"/>
      <c r="K27" s="55"/>
      <c r="L27" s="55"/>
      <c r="M27" s="55"/>
      <c r="N27" s="55"/>
      <c r="O27" s="55"/>
      <c r="P27" s="55"/>
      <c r="Q27" s="55"/>
      <c r="R27" s="55"/>
      <c r="S27" s="55"/>
      <c r="T27" s="55"/>
      <c r="U27" s="55"/>
      <c r="V27" s="55"/>
      <c r="W27" s="55"/>
      <c r="X27" s="56"/>
      <c r="Y27" s="56"/>
    </row>
    <row r="28" spans="1:25" x14ac:dyDescent="0.3">
      <c r="A28" s="55"/>
      <c r="B28" s="55"/>
      <c r="C28" s="55"/>
      <c r="D28" s="55"/>
      <c r="E28" s="55"/>
      <c r="F28" s="55"/>
      <c r="G28" s="55"/>
      <c r="H28" s="55"/>
      <c r="I28" s="55"/>
      <c r="J28" s="55"/>
      <c r="K28" s="55"/>
      <c r="L28" s="55"/>
      <c r="M28" s="55"/>
      <c r="N28" s="55"/>
      <c r="O28" s="55"/>
      <c r="P28" s="55"/>
      <c r="Q28" s="55"/>
      <c r="R28" s="55"/>
      <c r="S28" s="55"/>
      <c r="T28" s="55"/>
      <c r="U28" s="55"/>
      <c r="V28" s="55"/>
      <c r="W28" s="55"/>
      <c r="X28" s="56"/>
      <c r="Y28" s="56"/>
    </row>
    <row r="29" spans="1:25" x14ac:dyDescent="0.3">
      <c r="A29" s="55"/>
      <c r="B29" s="55"/>
      <c r="C29" s="55"/>
      <c r="D29" s="55"/>
      <c r="E29" s="55"/>
      <c r="F29" s="55"/>
      <c r="G29" s="55"/>
      <c r="H29" s="55"/>
      <c r="I29" s="55"/>
      <c r="J29" s="55"/>
      <c r="K29" s="55"/>
      <c r="L29" s="55"/>
      <c r="M29" s="55"/>
      <c r="N29" s="55"/>
      <c r="O29" s="55"/>
      <c r="P29" s="55"/>
      <c r="Q29" s="55"/>
      <c r="R29" s="55"/>
      <c r="S29" s="55"/>
      <c r="T29" s="55"/>
      <c r="U29" s="55"/>
      <c r="V29" s="55"/>
      <c r="W29" s="55"/>
      <c r="X29" s="56"/>
      <c r="Y29" s="56"/>
    </row>
    <row r="30" spans="1:25" x14ac:dyDescent="0.3">
      <c r="A30" s="55"/>
      <c r="B30" s="55"/>
      <c r="C30" s="55"/>
      <c r="D30" s="55"/>
      <c r="E30" s="55"/>
      <c r="F30" s="55"/>
      <c r="G30" s="55"/>
      <c r="H30" s="55"/>
      <c r="I30" s="55"/>
      <c r="J30" s="55"/>
      <c r="K30" s="55"/>
      <c r="L30" s="55"/>
      <c r="M30" s="55"/>
      <c r="N30" s="55"/>
      <c r="O30" s="55"/>
      <c r="P30" s="55"/>
      <c r="Q30" s="55"/>
      <c r="R30" s="55"/>
      <c r="S30" s="55"/>
      <c r="T30" s="55"/>
      <c r="U30" s="55"/>
      <c r="V30" s="55"/>
      <c r="W30" s="55"/>
      <c r="X30" s="56"/>
      <c r="Y30" s="56"/>
    </row>
    <row r="31" spans="1:25" x14ac:dyDescent="0.3">
      <c r="A31" s="55"/>
      <c r="B31" s="55"/>
      <c r="C31" s="55"/>
      <c r="D31" s="55"/>
      <c r="E31" s="55"/>
      <c r="F31" s="55"/>
      <c r="G31" s="55"/>
      <c r="H31" s="55"/>
      <c r="I31" s="55"/>
      <c r="J31" s="55"/>
      <c r="K31" s="55"/>
      <c r="L31" s="55"/>
      <c r="M31" s="55"/>
      <c r="N31" s="55"/>
      <c r="O31" s="55"/>
      <c r="P31" s="55"/>
      <c r="Q31" s="55"/>
      <c r="R31" s="55"/>
      <c r="S31" s="55"/>
      <c r="T31" s="55"/>
      <c r="U31" s="55"/>
      <c r="V31" s="55"/>
      <c r="W31" s="55"/>
      <c r="X31" s="56"/>
      <c r="Y31" s="56"/>
    </row>
    <row r="32" spans="1:25" x14ac:dyDescent="0.3">
      <c r="A32" s="55"/>
      <c r="B32" s="55"/>
      <c r="C32" s="55"/>
      <c r="D32" s="55"/>
      <c r="E32" s="55"/>
      <c r="F32" s="55"/>
      <c r="G32" s="55"/>
      <c r="H32" s="55"/>
      <c r="I32" s="55"/>
      <c r="J32" s="55"/>
      <c r="K32" s="55"/>
      <c r="L32" s="55"/>
      <c r="M32" s="55"/>
      <c r="N32" s="55"/>
      <c r="O32" s="55"/>
      <c r="P32" s="55"/>
      <c r="Q32" s="55"/>
      <c r="R32" s="55"/>
      <c r="S32" s="55"/>
      <c r="T32" s="55"/>
      <c r="U32" s="55"/>
      <c r="V32" s="55"/>
      <c r="W32" s="55"/>
      <c r="X32" s="56"/>
      <c r="Y32" s="56"/>
    </row>
    <row r="33" spans="1:25" x14ac:dyDescent="0.3">
      <c r="A33" s="56"/>
      <c r="B33" s="56"/>
      <c r="C33" s="56"/>
      <c r="D33" s="56"/>
      <c r="E33" s="56"/>
      <c r="F33" s="56"/>
      <c r="G33" s="56"/>
      <c r="H33" s="56"/>
      <c r="I33" s="56"/>
      <c r="J33" s="56"/>
      <c r="K33" s="56"/>
      <c r="L33" s="56"/>
      <c r="M33" s="56"/>
      <c r="N33" s="56"/>
      <c r="O33" s="56"/>
      <c r="P33" s="56"/>
      <c r="Q33" s="56"/>
      <c r="R33" s="56"/>
      <c r="S33" s="56"/>
      <c r="T33" s="56"/>
      <c r="U33" s="56"/>
      <c r="V33" s="56"/>
      <c r="W33" s="56"/>
      <c r="X33" s="56"/>
      <c r="Y33" s="56"/>
    </row>
    <row r="34" spans="1:25" x14ac:dyDescent="0.3">
      <c r="A34" s="56"/>
      <c r="B34" s="56"/>
      <c r="C34" s="56"/>
      <c r="D34" s="56"/>
      <c r="E34" s="56"/>
      <c r="F34" s="56"/>
      <c r="G34" s="56"/>
      <c r="H34" s="56"/>
      <c r="I34" s="56"/>
      <c r="J34" s="56"/>
      <c r="K34" s="56"/>
      <c r="L34" s="56"/>
      <c r="M34" s="56"/>
      <c r="N34" s="56"/>
      <c r="O34" s="56"/>
      <c r="P34" s="56"/>
      <c r="Q34" s="56"/>
      <c r="R34" s="56"/>
      <c r="S34" s="56"/>
      <c r="T34" s="56"/>
      <c r="U34" s="56"/>
      <c r="V34" s="56"/>
      <c r="W34" s="56"/>
      <c r="X34" s="56"/>
      <c r="Y34" s="56"/>
    </row>
    <row r="35" spans="1:25" x14ac:dyDescent="0.3">
      <c r="A35" s="56"/>
      <c r="B35" s="56"/>
      <c r="C35" s="56"/>
      <c r="D35" s="56"/>
      <c r="E35" s="56"/>
      <c r="F35" s="56"/>
      <c r="G35" s="56"/>
      <c r="H35" s="56"/>
      <c r="I35" s="56"/>
      <c r="J35" s="56"/>
      <c r="K35" s="56"/>
      <c r="L35" s="56"/>
      <c r="M35" s="56"/>
      <c r="N35" s="56"/>
      <c r="O35" s="56"/>
      <c r="P35" s="56"/>
      <c r="Q35" s="56"/>
      <c r="R35" s="56"/>
      <c r="S35" s="56"/>
      <c r="T35" s="56"/>
      <c r="U35" s="56"/>
      <c r="V35" s="56"/>
      <c r="W35" s="56"/>
      <c r="X35" s="56"/>
      <c r="Y35" s="56"/>
    </row>
    <row r="36" spans="1:25" x14ac:dyDescent="0.3">
      <c r="A36" s="56"/>
      <c r="B36" s="56"/>
      <c r="C36" s="56"/>
      <c r="D36" s="56"/>
      <c r="E36" s="56"/>
      <c r="F36" s="56"/>
      <c r="G36" s="56"/>
      <c r="H36" s="56"/>
      <c r="I36" s="56"/>
      <c r="J36" s="56"/>
      <c r="K36" s="56"/>
      <c r="L36" s="56"/>
      <c r="M36" s="56"/>
      <c r="N36" s="56"/>
      <c r="O36" s="56"/>
      <c r="P36" s="56"/>
      <c r="Q36" s="56"/>
      <c r="R36" s="56"/>
      <c r="S36" s="56"/>
      <c r="T36" s="56"/>
      <c r="U36" s="56"/>
      <c r="V36" s="56"/>
      <c r="W36" s="56"/>
      <c r="X36" s="56"/>
      <c r="Y36" s="56"/>
    </row>
    <row r="37" spans="1:25" x14ac:dyDescent="0.3">
      <c r="A37" s="56"/>
      <c r="B37" s="56"/>
      <c r="C37" s="56"/>
      <c r="D37" s="56"/>
      <c r="E37" s="56"/>
      <c r="F37" s="56"/>
      <c r="G37" s="56"/>
      <c r="H37" s="56"/>
      <c r="I37" s="56"/>
      <c r="J37" s="56"/>
      <c r="K37" s="56"/>
      <c r="L37" s="56"/>
      <c r="M37" s="56"/>
      <c r="N37" s="56"/>
      <c r="O37" s="56"/>
      <c r="P37" s="56"/>
      <c r="Q37" s="56"/>
      <c r="R37" s="56"/>
      <c r="S37" s="56"/>
      <c r="T37" s="56"/>
      <c r="U37" s="56"/>
      <c r="V37" s="56"/>
      <c r="W37" s="56"/>
      <c r="X37" s="56"/>
      <c r="Y37" s="56"/>
    </row>
    <row r="38" spans="1:25" x14ac:dyDescent="0.3">
      <c r="A38" s="56"/>
      <c r="B38" s="56"/>
      <c r="C38" s="56"/>
      <c r="D38" s="56"/>
      <c r="E38" s="56"/>
      <c r="F38" s="56"/>
      <c r="G38" s="56"/>
      <c r="H38" s="56"/>
      <c r="I38" s="56"/>
      <c r="J38" s="56"/>
      <c r="K38" s="56"/>
      <c r="L38" s="56"/>
      <c r="M38" s="56"/>
      <c r="N38" s="56"/>
      <c r="O38" s="56"/>
      <c r="P38" s="56"/>
      <c r="Q38" s="56"/>
      <c r="R38" s="56"/>
      <c r="S38" s="56"/>
      <c r="T38" s="56"/>
      <c r="U38" s="56"/>
      <c r="V38" s="56"/>
      <c r="W38" s="56"/>
      <c r="X38" s="56"/>
      <c r="Y38" s="56"/>
    </row>
    <row r="39" spans="1:25" x14ac:dyDescent="0.3">
      <c r="A39" s="56"/>
      <c r="B39" s="56"/>
      <c r="C39" s="56"/>
      <c r="D39" s="56"/>
      <c r="E39" s="56"/>
      <c r="F39" s="56"/>
      <c r="G39" s="56"/>
      <c r="H39" s="56"/>
      <c r="I39" s="56"/>
      <c r="J39" s="56"/>
      <c r="K39" s="56"/>
      <c r="L39" s="56"/>
      <c r="M39" s="56"/>
      <c r="N39" s="56"/>
      <c r="O39" s="56"/>
      <c r="P39" s="56"/>
      <c r="Q39" s="56"/>
      <c r="R39" s="56"/>
      <c r="S39" s="56"/>
      <c r="T39" s="56"/>
      <c r="U39" s="56"/>
      <c r="V39" s="56"/>
      <c r="W39" s="56"/>
      <c r="X39" s="56"/>
      <c r="Y39" s="56"/>
    </row>
    <row r="40" spans="1:25" x14ac:dyDescent="0.3">
      <c r="A40" s="56"/>
      <c r="B40" s="56"/>
      <c r="C40" s="56"/>
      <c r="D40" s="56"/>
      <c r="E40" s="56"/>
      <c r="F40" s="56"/>
      <c r="G40" s="56"/>
      <c r="H40" s="56"/>
      <c r="I40" s="56"/>
      <c r="J40" s="56"/>
      <c r="K40" s="56"/>
      <c r="L40" s="56"/>
      <c r="M40" s="56"/>
      <c r="N40" s="56"/>
      <c r="O40" s="56"/>
      <c r="P40" s="56"/>
      <c r="Q40" s="56"/>
      <c r="R40" s="56"/>
      <c r="S40" s="56"/>
      <c r="T40" s="56"/>
      <c r="U40" s="56"/>
      <c r="V40" s="56"/>
      <c r="W40" s="56"/>
      <c r="X40" s="56"/>
      <c r="Y40" s="56"/>
    </row>
    <row r="41" spans="1:25" x14ac:dyDescent="0.3">
      <c r="A41" s="56"/>
      <c r="B41" s="56"/>
      <c r="C41" s="56"/>
      <c r="D41" s="56"/>
      <c r="E41" s="56"/>
      <c r="F41" s="56"/>
      <c r="G41" s="56"/>
      <c r="H41" s="56"/>
      <c r="I41" s="56"/>
      <c r="J41" s="56"/>
      <c r="K41" s="56"/>
      <c r="L41" s="56"/>
      <c r="M41" s="56"/>
      <c r="N41" s="56"/>
      <c r="O41" s="56"/>
      <c r="P41" s="56"/>
      <c r="Q41" s="56"/>
      <c r="R41" s="56"/>
      <c r="S41" s="56"/>
      <c r="T41" s="56"/>
      <c r="U41" s="56"/>
      <c r="V41" s="56"/>
      <c r="W41" s="56"/>
      <c r="X41" s="56"/>
      <c r="Y41" s="56"/>
    </row>
    <row r="42" spans="1:25" x14ac:dyDescent="0.3">
      <c r="A42" s="56"/>
      <c r="B42" s="56"/>
      <c r="C42" s="56"/>
      <c r="D42" s="56"/>
      <c r="E42" s="56"/>
      <c r="F42" s="56"/>
      <c r="G42" s="56"/>
      <c r="H42" s="56"/>
      <c r="I42" s="56"/>
      <c r="J42" s="56"/>
      <c r="K42" s="56"/>
      <c r="L42" s="56"/>
      <c r="M42" s="56"/>
      <c r="N42" s="56"/>
      <c r="O42" s="56"/>
      <c r="P42" s="56"/>
      <c r="Q42" s="56"/>
      <c r="R42" s="56"/>
      <c r="S42" s="56"/>
      <c r="T42" s="56"/>
      <c r="U42" s="56"/>
      <c r="V42" s="56"/>
      <c r="W42" s="56"/>
      <c r="X42" s="56"/>
      <c r="Y42" s="56"/>
    </row>
    <row r="43" spans="1:25" x14ac:dyDescent="0.3">
      <c r="A43" s="56"/>
      <c r="B43" s="56"/>
      <c r="C43" s="56"/>
      <c r="D43" s="56"/>
      <c r="E43" s="56"/>
      <c r="F43" s="56"/>
      <c r="G43" s="56"/>
      <c r="H43" s="56"/>
      <c r="I43" s="56"/>
      <c r="J43" s="56"/>
      <c r="K43" s="56"/>
      <c r="L43" s="56"/>
      <c r="M43" s="56"/>
      <c r="N43" s="56"/>
      <c r="O43" s="56"/>
      <c r="P43" s="56"/>
      <c r="Q43" s="56"/>
      <c r="R43" s="56"/>
      <c r="S43" s="56"/>
      <c r="T43" s="56"/>
      <c r="U43" s="56"/>
      <c r="V43" s="56"/>
      <c r="W43" s="56"/>
      <c r="X43" s="56"/>
      <c r="Y43" s="56"/>
    </row>
    <row r="44" spans="1:25" x14ac:dyDescent="0.3">
      <c r="A44" s="56"/>
      <c r="B44" s="56"/>
      <c r="C44" s="56"/>
      <c r="D44" s="56"/>
      <c r="E44" s="56"/>
      <c r="F44" s="56"/>
      <c r="G44" s="56"/>
      <c r="H44" s="56"/>
      <c r="I44" s="56"/>
      <c r="J44" s="56"/>
      <c r="K44" s="56"/>
      <c r="L44" s="56"/>
      <c r="M44" s="56"/>
      <c r="N44" s="56"/>
      <c r="O44" s="56"/>
      <c r="P44" s="56"/>
      <c r="Q44" s="56"/>
      <c r="R44" s="56"/>
      <c r="S44" s="56"/>
      <c r="T44" s="56"/>
      <c r="U44" s="56"/>
      <c r="V44" s="56"/>
      <c r="W44" s="56"/>
      <c r="X44" s="56"/>
      <c r="Y44" s="56"/>
    </row>
    <row r="45" spans="1:25" x14ac:dyDescent="0.3">
      <c r="A45" s="56"/>
      <c r="B45" s="56"/>
      <c r="C45" s="56"/>
      <c r="D45" s="56"/>
      <c r="E45" s="56"/>
      <c r="F45" s="56"/>
      <c r="G45" s="56"/>
      <c r="H45" s="56"/>
      <c r="I45" s="56"/>
      <c r="J45" s="56"/>
      <c r="K45" s="56"/>
      <c r="L45" s="56"/>
      <c r="M45" s="56"/>
      <c r="N45" s="56"/>
      <c r="O45" s="56"/>
      <c r="P45" s="56"/>
      <c r="Q45" s="56"/>
      <c r="R45" s="56"/>
      <c r="S45" s="56"/>
      <c r="T45" s="56"/>
      <c r="U45" s="56"/>
      <c r="V45" s="56"/>
      <c r="W45" s="56"/>
      <c r="X45" s="56"/>
      <c r="Y45" s="56"/>
    </row>
    <row r="46" spans="1:25" x14ac:dyDescent="0.3">
      <c r="A46" s="56"/>
      <c r="B46" s="56"/>
      <c r="C46" s="56"/>
      <c r="D46" s="56"/>
      <c r="E46" s="56"/>
      <c r="F46" s="56"/>
      <c r="G46" s="56"/>
      <c r="H46" s="56"/>
      <c r="I46" s="56"/>
      <c r="J46" s="56"/>
      <c r="K46" s="56"/>
      <c r="L46" s="56"/>
      <c r="M46" s="56"/>
      <c r="N46" s="56"/>
      <c r="O46" s="56"/>
      <c r="P46" s="56"/>
      <c r="Q46" s="56"/>
      <c r="R46" s="56"/>
      <c r="S46" s="56"/>
      <c r="T46" s="56"/>
      <c r="U46" s="56"/>
      <c r="V46" s="56"/>
      <c r="W46" s="56"/>
      <c r="X46" s="56"/>
      <c r="Y46" s="56"/>
    </row>
    <row r="47" spans="1:25" x14ac:dyDescent="0.3">
      <c r="A47" s="56"/>
      <c r="B47" s="56"/>
      <c r="C47" s="56"/>
      <c r="D47" s="56"/>
      <c r="E47" s="56"/>
      <c r="F47" s="56"/>
      <c r="G47" s="56"/>
      <c r="H47" s="56"/>
      <c r="I47" s="56"/>
      <c r="J47" s="56"/>
      <c r="K47" s="56"/>
      <c r="L47" s="56"/>
      <c r="M47" s="56"/>
      <c r="N47" s="56"/>
      <c r="O47" s="56"/>
      <c r="P47" s="56"/>
      <c r="Q47" s="56"/>
      <c r="R47" s="56"/>
      <c r="S47" s="56"/>
      <c r="T47" s="56"/>
      <c r="U47" s="56"/>
      <c r="V47" s="56"/>
      <c r="W47" s="56"/>
      <c r="X47" s="56"/>
      <c r="Y47" s="56"/>
    </row>
    <row r="48" spans="1:25" x14ac:dyDescent="0.3">
      <c r="A48" s="56"/>
      <c r="B48" s="56"/>
      <c r="C48" s="56"/>
      <c r="D48" s="56"/>
      <c r="E48" s="56"/>
      <c r="F48" s="56"/>
      <c r="G48" s="56"/>
      <c r="H48" s="56"/>
      <c r="I48" s="56"/>
      <c r="J48" s="56"/>
      <c r="K48" s="56"/>
      <c r="L48" s="56"/>
      <c r="M48" s="56"/>
      <c r="N48" s="56"/>
      <c r="O48" s="56"/>
      <c r="P48" s="56"/>
      <c r="Q48" s="56"/>
      <c r="R48" s="56"/>
      <c r="S48" s="56"/>
      <c r="T48" s="56"/>
      <c r="U48" s="56"/>
      <c r="V48" s="56"/>
      <c r="W48" s="56"/>
      <c r="X48" s="56"/>
      <c r="Y48" s="56"/>
    </row>
    <row r="49" spans="1:25" x14ac:dyDescent="0.3">
      <c r="A49" s="56"/>
      <c r="B49" s="56"/>
      <c r="C49" s="56"/>
      <c r="D49" s="56"/>
      <c r="E49" s="56"/>
      <c r="F49" s="56"/>
      <c r="G49" s="56"/>
      <c r="H49" s="56"/>
      <c r="I49" s="56"/>
      <c r="J49" s="56"/>
      <c r="K49" s="56"/>
      <c r="L49" s="56"/>
      <c r="M49" s="56"/>
      <c r="N49" s="56"/>
      <c r="O49" s="56"/>
      <c r="P49" s="56"/>
      <c r="Q49" s="56"/>
      <c r="R49" s="56"/>
      <c r="S49" s="56"/>
      <c r="T49" s="56"/>
      <c r="U49" s="56"/>
      <c r="V49" s="56"/>
      <c r="W49" s="56"/>
      <c r="X49" s="56"/>
      <c r="Y49" s="56"/>
    </row>
    <row r="50" spans="1:25" x14ac:dyDescent="0.3">
      <c r="A50" s="56"/>
      <c r="B50" s="56"/>
      <c r="C50" s="56"/>
      <c r="D50" s="56"/>
      <c r="E50" s="56"/>
      <c r="F50" s="56"/>
      <c r="G50" s="56"/>
      <c r="H50" s="56"/>
      <c r="I50" s="56"/>
      <c r="J50" s="56"/>
      <c r="K50" s="56"/>
      <c r="L50" s="56"/>
      <c r="M50" s="56"/>
      <c r="N50" s="56"/>
      <c r="O50" s="56"/>
      <c r="P50" s="56"/>
      <c r="Q50" s="56"/>
      <c r="R50" s="56"/>
      <c r="S50" s="56"/>
      <c r="T50" s="56"/>
      <c r="U50" s="56"/>
      <c r="V50" s="56"/>
      <c r="W50" s="56"/>
      <c r="X50" s="56"/>
      <c r="Y50" s="56"/>
    </row>
    <row r="51" spans="1:25" x14ac:dyDescent="0.3">
      <c r="A51" s="56"/>
      <c r="B51" s="56"/>
      <c r="C51" s="56"/>
      <c r="D51" s="56"/>
      <c r="E51" s="56"/>
      <c r="F51" s="56"/>
      <c r="G51" s="56"/>
      <c r="H51" s="56"/>
      <c r="I51" s="56"/>
      <c r="J51" s="56"/>
      <c r="K51" s="56"/>
      <c r="L51" s="56"/>
      <c r="M51" s="56"/>
      <c r="N51" s="56"/>
      <c r="O51" s="56"/>
      <c r="P51" s="56"/>
      <c r="Q51" s="56"/>
      <c r="R51" s="56"/>
      <c r="S51" s="56"/>
      <c r="T51" s="56"/>
      <c r="U51" s="56"/>
      <c r="V51" s="56"/>
      <c r="W51" s="56"/>
      <c r="X51" s="56"/>
      <c r="Y51" s="56"/>
    </row>
    <row r="52" spans="1:25" x14ac:dyDescent="0.3">
      <c r="A52" s="56"/>
      <c r="B52" s="56"/>
      <c r="C52" s="56"/>
      <c r="D52" s="56"/>
      <c r="E52" s="56"/>
      <c r="F52" s="56"/>
      <c r="G52" s="56"/>
      <c r="H52" s="56"/>
      <c r="I52" s="56"/>
      <c r="J52" s="56"/>
      <c r="K52" s="56"/>
      <c r="L52" s="56"/>
      <c r="M52" s="56"/>
      <c r="N52" s="56"/>
      <c r="O52" s="56"/>
      <c r="P52" s="56"/>
      <c r="Q52" s="56"/>
      <c r="R52" s="56"/>
      <c r="S52" s="56"/>
      <c r="T52" s="56"/>
      <c r="U52" s="56"/>
      <c r="V52" s="56"/>
      <c r="W52" s="56"/>
      <c r="X52" s="56"/>
      <c r="Y52" s="56"/>
    </row>
    <row r="53" spans="1:25" x14ac:dyDescent="0.3">
      <c r="A53" s="56"/>
      <c r="B53" s="56"/>
      <c r="C53" s="56"/>
      <c r="D53" s="56"/>
      <c r="E53" s="56"/>
      <c r="F53" s="56"/>
      <c r="G53" s="56"/>
      <c r="H53" s="56"/>
      <c r="I53" s="56"/>
      <c r="J53" s="56"/>
      <c r="K53" s="56"/>
      <c r="L53" s="56"/>
      <c r="M53" s="56"/>
      <c r="N53" s="56"/>
      <c r="O53" s="56"/>
      <c r="P53" s="56"/>
      <c r="Q53" s="56"/>
      <c r="R53" s="56"/>
      <c r="S53" s="56"/>
      <c r="T53" s="56"/>
      <c r="U53" s="56"/>
      <c r="V53" s="56"/>
      <c r="W53" s="56"/>
      <c r="X53" s="56"/>
      <c r="Y53" s="56"/>
    </row>
    <row r="54" spans="1:25" x14ac:dyDescent="0.3">
      <c r="A54" s="56"/>
      <c r="B54" s="56"/>
      <c r="C54" s="56"/>
      <c r="D54" s="56"/>
      <c r="E54" s="56"/>
      <c r="F54" s="56"/>
      <c r="G54" s="56"/>
      <c r="H54" s="56"/>
      <c r="I54" s="56"/>
      <c r="J54" s="56"/>
      <c r="K54" s="56"/>
      <c r="L54" s="56"/>
      <c r="M54" s="56"/>
      <c r="N54" s="56"/>
      <c r="O54" s="56"/>
      <c r="P54" s="56"/>
      <c r="Q54" s="56"/>
      <c r="R54" s="56"/>
      <c r="S54" s="56"/>
      <c r="T54" s="56"/>
      <c r="U54" s="56"/>
      <c r="V54" s="56"/>
      <c r="W54" s="56"/>
      <c r="X54" s="56"/>
      <c r="Y54" s="56"/>
    </row>
    <row r="55" spans="1:25" x14ac:dyDescent="0.3">
      <c r="A55" s="56"/>
      <c r="B55" s="56"/>
      <c r="C55" s="56"/>
      <c r="D55" s="56"/>
      <c r="E55" s="56"/>
      <c r="F55" s="56"/>
      <c r="G55" s="56"/>
      <c r="H55" s="56"/>
      <c r="I55" s="56"/>
      <c r="J55" s="56"/>
      <c r="K55" s="56"/>
      <c r="L55" s="56"/>
      <c r="M55" s="56"/>
      <c r="N55" s="56"/>
      <c r="O55" s="56"/>
      <c r="P55" s="56"/>
      <c r="Q55" s="56"/>
      <c r="R55" s="56"/>
      <c r="S55" s="56"/>
      <c r="T55" s="56"/>
      <c r="U55" s="56"/>
      <c r="V55" s="56"/>
      <c r="W55" s="56"/>
      <c r="X55" s="56"/>
      <c r="Y55" s="56"/>
    </row>
    <row r="56" spans="1:25" x14ac:dyDescent="0.3">
      <c r="A56" s="56"/>
      <c r="B56" s="56"/>
      <c r="C56" s="56"/>
      <c r="D56" s="56"/>
      <c r="E56" s="56"/>
      <c r="F56" s="56"/>
      <c r="G56" s="56"/>
      <c r="H56" s="56"/>
      <c r="I56" s="56"/>
      <c r="J56" s="56"/>
      <c r="K56" s="56"/>
      <c r="L56" s="56"/>
      <c r="M56" s="56"/>
      <c r="N56" s="56"/>
      <c r="O56" s="56"/>
      <c r="P56" s="56"/>
      <c r="Q56" s="56"/>
      <c r="R56" s="56"/>
      <c r="S56" s="56"/>
      <c r="T56" s="56"/>
      <c r="U56" s="56"/>
      <c r="V56" s="56"/>
      <c r="W56" s="56"/>
      <c r="X56" s="56"/>
      <c r="Y56" s="56"/>
    </row>
    <row r="57" spans="1:25" x14ac:dyDescent="0.3">
      <c r="A57" s="56"/>
      <c r="B57" s="56"/>
      <c r="C57" s="56"/>
      <c r="D57" s="56"/>
      <c r="E57" s="56"/>
      <c r="F57" s="56"/>
      <c r="G57" s="56"/>
      <c r="H57" s="56"/>
      <c r="I57" s="56"/>
      <c r="J57" s="56"/>
      <c r="K57" s="56"/>
      <c r="L57" s="56"/>
      <c r="M57" s="56"/>
      <c r="N57" s="56"/>
      <c r="O57" s="56"/>
      <c r="P57" s="56"/>
      <c r="Q57" s="56"/>
      <c r="R57" s="56"/>
      <c r="S57" s="56"/>
      <c r="T57" s="56"/>
      <c r="U57" s="56"/>
      <c r="V57" s="56"/>
      <c r="W57" s="56"/>
      <c r="X57" s="56"/>
      <c r="Y57" s="56"/>
    </row>
    <row r="58" spans="1:25" x14ac:dyDescent="0.3">
      <c r="A58" s="56"/>
      <c r="B58" s="56"/>
      <c r="C58" s="56"/>
      <c r="D58" s="56"/>
      <c r="E58" s="56"/>
      <c r="F58" s="56"/>
      <c r="G58" s="56"/>
      <c r="H58" s="56"/>
      <c r="I58" s="56"/>
      <c r="J58" s="56"/>
      <c r="K58" s="56"/>
      <c r="L58" s="56"/>
      <c r="M58" s="56"/>
      <c r="N58" s="56"/>
      <c r="O58" s="56"/>
      <c r="P58" s="56"/>
      <c r="Q58" s="56"/>
      <c r="R58" s="56"/>
      <c r="S58" s="56"/>
      <c r="T58" s="56"/>
      <c r="U58" s="56"/>
      <c r="V58" s="56"/>
      <c r="W58" s="56"/>
      <c r="X58" s="56"/>
      <c r="Y58" s="56"/>
    </row>
    <row r="59" spans="1:25" x14ac:dyDescent="0.3">
      <c r="A59" s="56"/>
      <c r="B59" s="56"/>
      <c r="C59" s="56"/>
      <c r="D59" s="56"/>
      <c r="E59" s="56"/>
      <c r="F59" s="56"/>
      <c r="G59" s="56"/>
      <c r="H59" s="56"/>
      <c r="I59" s="56"/>
      <c r="J59" s="56"/>
      <c r="K59" s="56"/>
      <c r="L59" s="56"/>
      <c r="M59" s="56"/>
      <c r="N59" s="56"/>
      <c r="O59" s="56"/>
      <c r="P59" s="56"/>
      <c r="Q59" s="56"/>
      <c r="R59" s="56"/>
      <c r="S59" s="56"/>
      <c r="T59" s="56"/>
      <c r="U59" s="56"/>
      <c r="V59" s="56"/>
      <c r="W59" s="56"/>
      <c r="X59" s="56"/>
      <c r="Y59" s="56"/>
    </row>
    <row r="60" spans="1:25" x14ac:dyDescent="0.3">
      <c r="A60" s="56"/>
      <c r="B60" s="56"/>
      <c r="C60" s="56"/>
      <c r="D60" s="56"/>
      <c r="E60" s="56"/>
      <c r="F60" s="56"/>
      <c r="G60" s="56"/>
      <c r="H60" s="56"/>
      <c r="I60" s="56"/>
      <c r="J60" s="56"/>
      <c r="K60" s="56"/>
      <c r="L60" s="56"/>
      <c r="M60" s="56"/>
      <c r="N60" s="56"/>
      <c r="O60" s="56"/>
      <c r="P60" s="56"/>
      <c r="Q60" s="56"/>
      <c r="R60" s="56"/>
      <c r="S60" s="56"/>
      <c r="T60" s="56"/>
      <c r="U60" s="56"/>
      <c r="V60" s="56"/>
      <c r="W60" s="56"/>
      <c r="X60" s="56"/>
      <c r="Y60" s="56"/>
    </row>
    <row r="61" spans="1:25" x14ac:dyDescent="0.3">
      <c r="A61" s="56"/>
      <c r="B61" s="56"/>
      <c r="C61" s="56"/>
      <c r="D61" s="56"/>
      <c r="E61" s="56"/>
      <c r="F61" s="56"/>
      <c r="G61" s="56"/>
      <c r="H61" s="56"/>
      <c r="I61" s="56"/>
      <c r="J61" s="56"/>
      <c r="K61" s="56"/>
      <c r="L61" s="56"/>
      <c r="M61" s="56"/>
      <c r="N61" s="56"/>
      <c r="O61" s="56"/>
      <c r="P61" s="56"/>
      <c r="Q61" s="56"/>
      <c r="R61" s="56"/>
      <c r="S61" s="56"/>
      <c r="T61" s="56"/>
      <c r="U61" s="56"/>
      <c r="V61" s="56"/>
      <c r="W61" s="56"/>
      <c r="X61" s="56"/>
      <c r="Y61" s="56"/>
    </row>
    <row r="62" spans="1:25" x14ac:dyDescent="0.3">
      <c r="A62" s="56"/>
      <c r="B62" s="56"/>
      <c r="C62" s="56"/>
      <c r="D62" s="56"/>
      <c r="E62" s="56"/>
      <c r="F62" s="56"/>
      <c r="G62" s="56"/>
      <c r="H62" s="56"/>
      <c r="I62" s="56"/>
      <c r="J62" s="56"/>
      <c r="K62" s="56"/>
      <c r="L62" s="56"/>
      <c r="M62" s="56"/>
      <c r="N62" s="56"/>
      <c r="O62" s="56"/>
      <c r="P62" s="56"/>
      <c r="Q62" s="56"/>
      <c r="R62" s="56"/>
      <c r="S62" s="56"/>
      <c r="T62" s="56"/>
      <c r="U62" s="56"/>
      <c r="V62" s="56"/>
      <c r="W62" s="56"/>
      <c r="X62" s="56"/>
      <c r="Y62" s="56"/>
    </row>
    <row r="63" spans="1:25" x14ac:dyDescent="0.3">
      <c r="A63" s="56"/>
      <c r="B63" s="56"/>
      <c r="C63" s="56"/>
      <c r="D63" s="56"/>
      <c r="E63" s="56"/>
      <c r="F63" s="56"/>
      <c r="G63" s="56"/>
      <c r="H63" s="56"/>
      <c r="I63" s="56"/>
      <c r="J63" s="56"/>
      <c r="K63" s="56"/>
      <c r="L63" s="56"/>
      <c r="M63" s="56"/>
      <c r="N63" s="56"/>
      <c r="O63" s="56"/>
      <c r="P63" s="56"/>
      <c r="Q63" s="56"/>
      <c r="R63" s="56"/>
      <c r="S63" s="56"/>
      <c r="T63" s="56"/>
      <c r="U63" s="56"/>
      <c r="V63" s="56"/>
      <c r="W63" s="56"/>
      <c r="X63" s="56"/>
      <c r="Y63" s="56"/>
    </row>
    <row r="64" spans="1:25" x14ac:dyDescent="0.3">
      <c r="A64" s="56"/>
      <c r="B64" s="56"/>
      <c r="C64" s="56"/>
      <c r="D64" s="56"/>
      <c r="E64" s="56"/>
      <c r="F64" s="56"/>
      <c r="G64" s="56"/>
      <c r="H64" s="56"/>
      <c r="I64" s="56"/>
      <c r="J64" s="56"/>
      <c r="K64" s="56"/>
      <c r="L64" s="56"/>
      <c r="M64" s="56"/>
      <c r="N64" s="56"/>
      <c r="O64" s="56"/>
      <c r="P64" s="56"/>
      <c r="Q64" s="56"/>
      <c r="R64" s="56"/>
      <c r="S64" s="56"/>
      <c r="T64" s="56"/>
      <c r="U64" s="56"/>
      <c r="V64" s="56"/>
      <c r="W64" s="56"/>
      <c r="X64" s="56"/>
      <c r="Y64" s="56"/>
    </row>
    <row r="65" spans="1:25" x14ac:dyDescent="0.3">
      <c r="A65" s="56"/>
      <c r="B65" s="56"/>
      <c r="C65" s="56"/>
      <c r="D65" s="56"/>
      <c r="E65" s="56"/>
      <c r="F65" s="56"/>
      <c r="G65" s="56"/>
      <c r="H65" s="56"/>
      <c r="I65" s="56"/>
      <c r="J65" s="56"/>
      <c r="K65" s="56"/>
      <c r="L65" s="56"/>
      <c r="M65" s="56"/>
      <c r="N65" s="56"/>
      <c r="O65" s="56"/>
      <c r="P65" s="56"/>
      <c r="Q65" s="56"/>
      <c r="R65" s="56"/>
      <c r="S65" s="56"/>
      <c r="T65" s="56"/>
      <c r="U65" s="56"/>
      <c r="V65" s="56"/>
      <c r="W65" s="56"/>
      <c r="X65" s="56"/>
      <c r="Y65" s="56"/>
    </row>
    <row r="66" spans="1:25" x14ac:dyDescent="0.3">
      <c r="A66" s="56"/>
      <c r="B66" s="56"/>
      <c r="C66" s="56"/>
      <c r="D66" s="56"/>
      <c r="E66" s="56"/>
      <c r="F66" s="56"/>
      <c r="G66" s="56"/>
      <c r="H66" s="56"/>
      <c r="I66" s="56"/>
      <c r="J66" s="56"/>
      <c r="K66" s="56"/>
      <c r="L66" s="56"/>
      <c r="M66" s="56"/>
      <c r="N66" s="56"/>
      <c r="O66" s="56"/>
      <c r="P66" s="56"/>
      <c r="Q66" s="56"/>
      <c r="R66" s="56"/>
      <c r="S66" s="56"/>
      <c r="T66" s="56"/>
      <c r="U66" s="56"/>
      <c r="V66" s="56"/>
      <c r="W66" s="56"/>
      <c r="X66" s="56"/>
      <c r="Y66" s="56"/>
    </row>
    <row r="67" spans="1:25" x14ac:dyDescent="0.3">
      <c r="A67" s="56"/>
      <c r="B67" s="56"/>
      <c r="C67" s="56"/>
      <c r="D67" s="56"/>
      <c r="E67" s="56"/>
      <c r="F67" s="56"/>
      <c r="G67" s="56"/>
      <c r="H67" s="56"/>
      <c r="I67" s="56"/>
      <c r="J67" s="56"/>
      <c r="K67" s="56"/>
      <c r="L67" s="56"/>
      <c r="M67" s="56"/>
      <c r="N67" s="56"/>
      <c r="O67" s="56"/>
      <c r="P67" s="56"/>
      <c r="Q67" s="56"/>
      <c r="R67" s="56"/>
      <c r="S67" s="56"/>
      <c r="T67" s="56"/>
      <c r="U67" s="56"/>
      <c r="V67" s="56"/>
      <c r="W67" s="56"/>
      <c r="X67" s="56"/>
      <c r="Y67" s="56"/>
    </row>
    <row r="68" spans="1:25" x14ac:dyDescent="0.3">
      <c r="A68" s="56"/>
      <c r="B68" s="56"/>
      <c r="C68" s="56"/>
      <c r="D68" s="56"/>
      <c r="E68" s="56"/>
      <c r="F68" s="56"/>
      <c r="G68" s="56"/>
      <c r="H68" s="56"/>
      <c r="I68" s="56"/>
      <c r="J68" s="56"/>
      <c r="K68" s="56"/>
      <c r="L68" s="56"/>
      <c r="M68" s="56"/>
      <c r="N68" s="56"/>
      <c r="O68" s="56"/>
      <c r="P68" s="56"/>
      <c r="Q68" s="56"/>
      <c r="R68" s="56"/>
      <c r="S68" s="56"/>
      <c r="T68" s="56"/>
      <c r="U68" s="56"/>
      <c r="V68" s="56"/>
      <c r="W68" s="56"/>
      <c r="X68" s="56"/>
      <c r="Y68" s="56"/>
    </row>
    <row r="69" spans="1:25" x14ac:dyDescent="0.3">
      <c r="A69" s="56"/>
      <c r="B69" s="56"/>
      <c r="C69" s="56"/>
      <c r="D69" s="56"/>
      <c r="E69" s="56"/>
      <c r="F69" s="56"/>
      <c r="G69" s="56"/>
      <c r="H69" s="56"/>
      <c r="I69" s="56"/>
      <c r="J69" s="56"/>
      <c r="K69" s="56"/>
      <c r="L69" s="56"/>
      <c r="M69" s="56"/>
      <c r="N69" s="56"/>
      <c r="O69" s="56"/>
      <c r="P69" s="56"/>
      <c r="Q69" s="56"/>
      <c r="R69" s="56"/>
      <c r="S69" s="56"/>
      <c r="T69" s="56"/>
      <c r="U69" s="56"/>
      <c r="V69" s="56"/>
      <c r="W69" s="56"/>
      <c r="X69" s="56"/>
      <c r="Y69" s="56"/>
    </row>
    <row r="70" spans="1:25" x14ac:dyDescent="0.3">
      <c r="A70" s="56"/>
      <c r="B70" s="56"/>
      <c r="C70" s="56"/>
      <c r="D70" s="56"/>
      <c r="E70" s="56"/>
      <c r="F70" s="56"/>
      <c r="G70" s="56"/>
      <c r="H70" s="56"/>
      <c r="I70" s="56"/>
      <c r="J70" s="56"/>
      <c r="K70" s="56"/>
      <c r="L70" s="56"/>
      <c r="M70" s="56"/>
      <c r="N70" s="56"/>
      <c r="O70" s="56"/>
      <c r="P70" s="56"/>
      <c r="Q70" s="56"/>
      <c r="R70" s="56"/>
      <c r="S70" s="56"/>
      <c r="T70" s="56"/>
      <c r="U70" s="56"/>
      <c r="V70" s="56"/>
      <c r="W70" s="56"/>
      <c r="X70" s="56"/>
      <c r="Y70" s="56"/>
    </row>
    <row r="71" spans="1:25" x14ac:dyDescent="0.3">
      <c r="A71" s="56"/>
      <c r="B71" s="56"/>
      <c r="C71" s="56"/>
      <c r="D71" s="56"/>
      <c r="E71" s="56"/>
      <c r="F71" s="56"/>
      <c r="G71" s="56"/>
      <c r="H71" s="56"/>
      <c r="I71" s="56"/>
      <c r="J71" s="56"/>
      <c r="K71" s="56"/>
      <c r="L71" s="56"/>
      <c r="M71" s="56"/>
      <c r="N71" s="56"/>
      <c r="O71" s="56"/>
      <c r="P71" s="56"/>
      <c r="Q71" s="56"/>
      <c r="R71" s="56"/>
      <c r="S71" s="56"/>
      <c r="T71" s="56"/>
      <c r="U71" s="56"/>
      <c r="V71" s="56"/>
      <c r="W71" s="56"/>
      <c r="X71" s="56"/>
      <c r="Y71" s="56"/>
    </row>
    <row r="72" spans="1:25" x14ac:dyDescent="0.3">
      <c r="A72" s="56"/>
      <c r="B72" s="56"/>
      <c r="C72" s="56"/>
      <c r="D72" s="56"/>
      <c r="E72" s="56"/>
      <c r="F72" s="56"/>
      <c r="G72" s="56"/>
      <c r="H72" s="56"/>
      <c r="I72" s="56"/>
      <c r="J72" s="56"/>
      <c r="K72" s="56"/>
      <c r="L72" s="56"/>
      <c r="M72" s="56"/>
      <c r="N72" s="56"/>
      <c r="O72" s="56"/>
      <c r="P72" s="56"/>
      <c r="Q72" s="56"/>
      <c r="R72" s="56"/>
      <c r="S72" s="56"/>
      <c r="T72" s="56"/>
      <c r="U72" s="56"/>
      <c r="V72" s="56"/>
      <c r="W72" s="56"/>
      <c r="X72" s="56"/>
      <c r="Y72" s="56"/>
    </row>
    <row r="73" spans="1:25" x14ac:dyDescent="0.3">
      <c r="A73" s="56"/>
      <c r="B73" s="56"/>
      <c r="C73" s="56"/>
      <c r="D73" s="56"/>
      <c r="E73" s="56"/>
      <c r="F73" s="56"/>
      <c r="G73" s="56"/>
      <c r="H73" s="56"/>
      <c r="I73" s="56"/>
      <c r="J73" s="56"/>
      <c r="K73" s="56"/>
      <c r="L73" s="56"/>
      <c r="M73" s="56"/>
      <c r="N73" s="56"/>
      <c r="O73" s="56"/>
      <c r="P73" s="56"/>
      <c r="Q73" s="56"/>
      <c r="R73" s="56"/>
      <c r="S73" s="56"/>
      <c r="T73" s="56"/>
      <c r="U73" s="56"/>
      <c r="V73" s="56"/>
      <c r="W73" s="56"/>
      <c r="X73" s="56"/>
      <c r="Y73" s="56"/>
    </row>
    <row r="74" spans="1:25" x14ac:dyDescent="0.3">
      <c r="A74" s="56"/>
      <c r="B74" s="56"/>
      <c r="C74" s="56"/>
      <c r="D74" s="56"/>
      <c r="E74" s="56"/>
      <c r="F74" s="56"/>
      <c r="G74" s="56"/>
      <c r="H74" s="56"/>
      <c r="I74" s="56"/>
      <c r="J74" s="56"/>
      <c r="K74" s="56"/>
      <c r="L74" s="56"/>
      <c r="M74" s="56"/>
      <c r="N74" s="56"/>
      <c r="O74" s="56"/>
      <c r="P74" s="56"/>
      <c r="Q74" s="56"/>
      <c r="R74" s="56"/>
      <c r="S74" s="56"/>
      <c r="T74" s="56"/>
      <c r="U74" s="56"/>
      <c r="V74" s="56"/>
      <c r="W74" s="56"/>
      <c r="X74" s="56"/>
      <c r="Y74" s="56"/>
    </row>
    <row r="75" spans="1:25" x14ac:dyDescent="0.3">
      <c r="A75" s="56"/>
      <c r="B75" s="56"/>
      <c r="C75" s="56"/>
      <c r="D75" s="56"/>
      <c r="E75" s="56"/>
      <c r="F75" s="56"/>
      <c r="G75" s="56"/>
      <c r="H75" s="56"/>
      <c r="I75" s="56"/>
      <c r="J75" s="56"/>
      <c r="K75" s="56"/>
      <c r="L75" s="56"/>
      <c r="M75" s="56"/>
      <c r="N75" s="56"/>
      <c r="O75" s="56"/>
      <c r="P75" s="56"/>
      <c r="Q75" s="56"/>
      <c r="R75" s="56"/>
      <c r="S75" s="56"/>
      <c r="T75" s="56"/>
      <c r="U75" s="56"/>
      <c r="V75" s="56"/>
      <c r="W75" s="56"/>
      <c r="X75" s="56"/>
      <c r="Y75" s="56"/>
    </row>
    <row r="76" spans="1:25" x14ac:dyDescent="0.3">
      <c r="A76" s="56"/>
      <c r="B76" s="56"/>
      <c r="C76" s="56"/>
      <c r="D76" s="56"/>
      <c r="E76" s="56"/>
      <c r="F76" s="56"/>
      <c r="G76" s="56"/>
      <c r="H76" s="56"/>
      <c r="I76" s="56"/>
      <c r="J76" s="56"/>
      <c r="K76" s="56"/>
      <c r="L76" s="56"/>
      <c r="M76" s="56"/>
      <c r="N76" s="56"/>
      <c r="O76" s="56"/>
      <c r="P76" s="56"/>
      <c r="Q76" s="56"/>
      <c r="R76" s="56"/>
      <c r="S76" s="56"/>
      <c r="T76" s="56"/>
      <c r="U76" s="56"/>
      <c r="V76" s="56"/>
      <c r="W76" s="56"/>
      <c r="X76" s="56"/>
      <c r="Y76" s="56"/>
    </row>
    <row r="77" spans="1:25" x14ac:dyDescent="0.3">
      <c r="A77" s="56"/>
      <c r="B77" s="56"/>
      <c r="C77" s="56"/>
      <c r="D77" s="56"/>
      <c r="E77" s="56"/>
      <c r="F77" s="56"/>
      <c r="G77" s="56"/>
      <c r="H77" s="56"/>
      <c r="I77" s="56"/>
      <c r="J77" s="56"/>
      <c r="K77" s="56"/>
      <c r="L77" s="56"/>
      <c r="M77" s="56"/>
      <c r="N77" s="56"/>
      <c r="O77" s="56"/>
      <c r="P77" s="56"/>
      <c r="Q77" s="56"/>
      <c r="R77" s="56"/>
      <c r="S77" s="56"/>
      <c r="T77" s="56"/>
      <c r="U77" s="56"/>
      <c r="V77" s="56"/>
      <c r="W77" s="56"/>
      <c r="X77" s="56"/>
      <c r="Y77" s="56"/>
    </row>
    <row r="78" spans="1:25" x14ac:dyDescent="0.3">
      <c r="A78" s="56"/>
      <c r="B78" s="56"/>
      <c r="C78" s="56"/>
      <c r="D78" s="56"/>
      <c r="E78" s="56"/>
      <c r="F78" s="56"/>
      <c r="G78" s="56"/>
      <c r="H78" s="56"/>
      <c r="I78" s="56"/>
      <c r="J78" s="56"/>
      <c r="K78" s="56"/>
      <c r="L78" s="56"/>
      <c r="M78" s="56"/>
      <c r="N78" s="56"/>
      <c r="O78" s="56"/>
      <c r="P78" s="56"/>
      <c r="Q78" s="56"/>
      <c r="R78" s="56"/>
      <c r="S78" s="56"/>
      <c r="T78" s="56"/>
      <c r="U78" s="56"/>
      <c r="V78" s="56"/>
      <c r="W78" s="56"/>
      <c r="X78" s="56"/>
      <c r="Y78" s="56"/>
    </row>
    <row r="79" spans="1:25" x14ac:dyDescent="0.3">
      <c r="A79" s="56"/>
      <c r="B79" s="56"/>
      <c r="C79" s="56"/>
      <c r="D79" s="56"/>
      <c r="E79" s="56"/>
      <c r="F79" s="56"/>
      <c r="G79" s="56"/>
      <c r="H79" s="56"/>
      <c r="I79" s="56"/>
      <c r="J79" s="56"/>
      <c r="K79" s="56"/>
      <c r="L79" s="56"/>
      <c r="M79" s="56"/>
      <c r="N79" s="56"/>
      <c r="O79" s="56"/>
      <c r="P79" s="56"/>
      <c r="Q79" s="56"/>
      <c r="R79" s="56"/>
      <c r="S79" s="56"/>
      <c r="T79" s="56"/>
      <c r="U79" s="56"/>
      <c r="V79" s="56"/>
      <c r="W79" s="56"/>
      <c r="X79" s="56"/>
      <c r="Y79" s="56"/>
    </row>
    <row r="80" spans="1:25" x14ac:dyDescent="0.3">
      <c r="A80" s="56"/>
      <c r="B80" s="56"/>
      <c r="C80" s="56"/>
      <c r="D80" s="56"/>
      <c r="E80" s="56"/>
      <c r="F80" s="56"/>
      <c r="G80" s="56"/>
      <c r="H80" s="56"/>
      <c r="I80" s="56"/>
      <c r="J80" s="56"/>
      <c r="K80" s="56"/>
      <c r="L80" s="56"/>
      <c r="M80" s="56"/>
      <c r="N80" s="56"/>
      <c r="O80" s="56"/>
      <c r="P80" s="56"/>
      <c r="Q80" s="56"/>
      <c r="R80" s="56"/>
      <c r="S80" s="56"/>
      <c r="T80" s="56"/>
      <c r="U80" s="56"/>
      <c r="V80" s="56"/>
      <c r="W80" s="56"/>
      <c r="X80" s="56"/>
      <c r="Y80" s="56"/>
    </row>
    <row r="81" spans="1:25" x14ac:dyDescent="0.3">
      <c r="A81" s="56"/>
      <c r="B81" s="56"/>
      <c r="C81" s="56"/>
      <c r="D81" s="56"/>
      <c r="E81" s="56"/>
      <c r="F81" s="56"/>
      <c r="G81" s="56"/>
      <c r="H81" s="56"/>
      <c r="I81" s="56"/>
      <c r="J81" s="56"/>
      <c r="K81" s="56"/>
      <c r="L81" s="56"/>
      <c r="M81" s="56"/>
      <c r="N81" s="56"/>
      <c r="O81" s="56"/>
      <c r="P81" s="56"/>
      <c r="Q81" s="56"/>
      <c r="R81" s="56"/>
      <c r="S81" s="56"/>
      <c r="T81" s="56"/>
      <c r="U81" s="56"/>
      <c r="V81" s="56"/>
      <c r="W81" s="56"/>
      <c r="X81" s="56"/>
      <c r="Y81" s="56"/>
    </row>
    <row r="82" spans="1:25" x14ac:dyDescent="0.3">
      <c r="A82" s="56"/>
      <c r="B82" s="56"/>
      <c r="C82" s="56"/>
      <c r="D82" s="56"/>
      <c r="E82" s="56"/>
      <c r="F82" s="56"/>
      <c r="G82" s="56"/>
      <c r="H82" s="56"/>
      <c r="I82" s="56"/>
      <c r="J82" s="56"/>
      <c r="K82" s="56"/>
      <c r="L82" s="56"/>
      <c r="M82" s="56"/>
      <c r="N82" s="56"/>
      <c r="O82" s="56"/>
      <c r="P82" s="56"/>
      <c r="Q82" s="56"/>
      <c r="R82" s="56"/>
      <c r="S82" s="56"/>
      <c r="T82" s="56"/>
      <c r="U82" s="56"/>
      <c r="V82" s="56"/>
      <c r="W82" s="56"/>
      <c r="X82" s="56"/>
      <c r="Y82" s="56"/>
    </row>
    <row r="83" spans="1:25" x14ac:dyDescent="0.3">
      <c r="A83" s="56"/>
      <c r="B83" s="56"/>
      <c r="C83" s="56"/>
      <c r="D83" s="56"/>
      <c r="E83" s="56"/>
      <c r="F83" s="56"/>
      <c r="G83" s="56"/>
      <c r="H83" s="56"/>
      <c r="I83" s="56"/>
      <c r="J83" s="56"/>
      <c r="K83" s="56"/>
      <c r="L83" s="56"/>
      <c r="M83" s="56"/>
      <c r="N83" s="56"/>
      <c r="O83" s="56"/>
      <c r="P83" s="56"/>
      <c r="Q83" s="56"/>
      <c r="R83" s="56"/>
      <c r="S83" s="56"/>
      <c r="T83" s="56"/>
      <c r="U83" s="56"/>
      <c r="V83" s="56"/>
      <c r="W83" s="56"/>
      <c r="X83" s="56"/>
      <c r="Y83" s="56"/>
    </row>
    <row r="84" spans="1:25" x14ac:dyDescent="0.3">
      <c r="A84" s="56"/>
      <c r="B84" s="56"/>
      <c r="C84" s="56"/>
      <c r="D84" s="56"/>
      <c r="E84" s="56"/>
      <c r="F84" s="56"/>
      <c r="G84" s="56"/>
      <c r="H84" s="56"/>
      <c r="I84" s="56"/>
      <c r="J84" s="56"/>
      <c r="K84" s="56"/>
      <c r="L84" s="56"/>
      <c r="M84" s="56"/>
      <c r="N84" s="56"/>
      <c r="O84" s="56"/>
      <c r="P84" s="56"/>
      <c r="Q84" s="56"/>
      <c r="R84" s="56"/>
      <c r="S84" s="56"/>
      <c r="T84" s="56"/>
      <c r="U84" s="56"/>
      <c r="V84" s="56"/>
      <c r="W84" s="56"/>
      <c r="X84" s="56"/>
      <c r="Y84" s="56"/>
    </row>
    <row r="85" spans="1:25" x14ac:dyDescent="0.3">
      <c r="A85" s="56"/>
      <c r="B85" s="56"/>
      <c r="C85" s="56"/>
      <c r="D85" s="56"/>
      <c r="E85" s="56"/>
      <c r="F85" s="56"/>
      <c r="G85" s="56"/>
      <c r="H85" s="56"/>
      <c r="I85" s="56"/>
      <c r="J85" s="56"/>
      <c r="K85" s="56"/>
      <c r="L85" s="56"/>
      <c r="M85" s="56"/>
      <c r="N85" s="56"/>
      <c r="O85" s="56"/>
      <c r="P85" s="56"/>
      <c r="Q85" s="56"/>
      <c r="R85" s="56"/>
      <c r="S85" s="56"/>
      <c r="T85" s="56"/>
      <c r="U85" s="56"/>
      <c r="V85" s="56"/>
      <c r="W85" s="56"/>
      <c r="X85" s="56"/>
      <c r="Y85" s="56"/>
    </row>
    <row r="86" spans="1:25" x14ac:dyDescent="0.3">
      <c r="A86" s="56"/>
      <c r="B86" s="56"/>
      <c r="C86" s="56"/>
      <c r="D86" s="56"/>
      <c r="E86" s="56"/>
      <c r="F86" s="56"/>
      <c r="G86" s="56"/>
      <c r="H86" s="56"/>
      <c r="I86" s="56"/>
      <c r="J86" s="56"/>
      <c r="K86" s="56"/>
      <c r="L86" s="56"/>
      <c r="M86" s="56"/>
      <c r="N86" s="56"/>
      <c r="O86" s="56"/>
      <c r="P86" s="56"/>
      <c r="Q86" s="56"/>
      <c r="R86" s="56"/>
      <c r="S86" s="56"/>
      <c r="T86" s="56"/>
      <c r="U86" s="56"/>
      <c r="V86" s="56"/>
      <c r="W86" s="56"/>
      <c r="X86" s="56"/>
      <c r="Y86" s="56"/>
    </row>
    <row r="87" spans="1:25" x14ac:dyDescent="0.3">
      <c r="A87" s="56"/>
      <c r="B87" s="56"/>
      <c r="C87" s="56"/>
      <c r="D87" s="56"/>
      <c r="E87" s="56"/>
      <c r="F87" s="56"/>
      <c r="G87" s="56"/>
      <c r="H87" s="56"/>
      <c r="I87" s="56"/>
      <c r="J87" s="56"/>
      <c r="K87" s="56"/>
      <c r="L87" s="56"/>
      <c r="M87" s="56"/>
      <c r="N87" s="56"/>
      <c r="O87" s="56"/>
      <c r="P87" s="56"/>
      <c r="Q87" s="56"/>
      <c r="R87" s="56"/>
      <c r="S87" s="56"/>
      <c r="T87" s="56"/>
      <c r="U87" s="56"/>
      <c r="V87" s="56"/>
      <c r="W87" s="56"/>
      <c r="X87" s="56"/>
      <c r="Y87" s="56"/>
    </row>
    <row r="88" spans="1:25" x14ac:dyDescent="0.3">
      <c r="A88" s="56"/>
      <c r="B88" s="56"/>
      <c r="C88" s="56"/>
      <c r="D88" s="56"/>
      <c r="E88" s="56"/>
      <c r="F88" s="56"/>
      <c r="G88" s="56"/>
      <c r="H88" s="56"/>
      <c r="I88" s="56"/>
      <c r="J88" s="56"/>
      <c r="K88" s="56"/>
      <c r="L88" s="56"/>
      <c r="M88" s="56"/>
      <c r="N88" s="56"/>
      <c r="O88" s="56"/>
      <c r="P88" s="56"/>
      <c r="Q88" s="56"/>
      <c r="R88" s="56"/>
      <c r="S88" s="56"/>
      <c r="T88" s="56"/>
      <c r="U88" s="56"/>
      <c r="V88" s="56"/>
      <c r="W88" s="56"/>
      <c r="X88" s="56"/>
      <c r="Y88" s="56"/>
    </row>
    <row r="89" spans="1:25" x14ac:dyDescent="0.3">
      <c r="A89" s="56"/>
      <c r="B89" s="56"/>
      <c r="C89" s="56"/>
      <c r="D89" s="56"/>
      <c r="E89" s="56"/>
      <c r="F89" s="56"/>
      <c r="G89" s="56"/>
      <c r="H89" s="56"/>
      <c r="I89" s="56"/>
      <c r="J89" s="56"/>
      <c r="K89" s="56"/>
      <c r="L89" s="56"/>
      <c r="M89" s="56"/>
      <c r="N89" s="56"/>
      <c r="O89" s="56"/>
      <c r="P89" s="56"/>
      <c r="Q89" s="56"/>
      <c r="R89" s="56"/>
      <c r="S89" s="56"/>
      <c r="T89" s="56"/>
      <c r="U89" s="56"/>
      <c r="V89" s="56"/>
      <c r="W89" s="56"/>
      <c r="X89" s="56"/>
      <c r="Y89" s="56"/>
    </row>
    <row r="90" spans="1:25" x14ac:dyDescent="0.3">
      <c r="A90" s="56"/>
      <c r="B90" s="56"/>
      <c r="C90" s="56"/>
      <c r="D90" s="56"/>
      <c r="E90" s="56"/>
      <c r="F90" s="56"/>
      <c r="G90" s="56"/>
      <c r="H90" s="56"/>
      <c r="I90" s="56"/>
      <c r="J90" s="56"/>
      <c r="K90" s="56"/>
      <c r="L90" s="56"/>
      <c r="M90" s="56"/>
      <c r="N90" s="56"/>
      <c r="O90" s="56"/>
      <c r="P90" s="56"/>
      <c r="Q90" s="56"/>
      <c r="R90" s="56"/>
      <c r="S90" s="56"/>
      <c r="T90" s="56"/>
      <c r="U90" s="56"/>
      <c r="V90" s="56"/>
      <c r="W90" s="56"/>
      <c r="X90" s="56"/>
      <c r="Y90" s="56"/>
    </row>
    <row r="91" spans="1:25" x14ac:dyDescent="0.3">
      <c r="A91" s="56"/>
      <c r="B91" s="56"/>
      <c r="C91" s="56"/>
      <c r="D91" s="56"/>
      <c r="E91" s="56"/>
      <c r="F91" s="56"/>
      <c r="G91" s="56"/>
      <c r="H91" s="56"/>
      <c r="I91" s="56"/>
      <c r="J91" s="56"/>
      <c r="K91" s="56"/>
      <c r="L91" s="56"/>
      <c r="M91" s="56"/>
      <c r="N91" s="56"/>
      <c r="O91" s="56"/>
      <c r="P91" s="56"/>
      <c r="Q91" s="56"/>
      <c r="R91" s="56"/>
      <c r="S91" s="56"/>
      <c r="T91" s="56"/>
      <c r="U91" s="56"/>
      <c r="V91" s="56"/>
      <c r="W91" s="56"/>
      <c r="X91" s="56"/>
      <c r="Y91" s="56"/>
    </row>
    <row r="92" spans="1:25" x14ac:dyDescent="0.3">
      <c r="A92" s="56"/>
      <c r="B92" s="56"/>
      <c r="C92" s="56"/>
      <c r="D92" s="56"/>
      <c r="E92" s="56"/>
      <c r="F92" s="56"/>
      <c r="G92" s="56"/>
      <c r="H92" s="56"/>
      <c r="I92" s="56"/>
      <c r="J92" s="56"/>
      <c r="K92" s="56"/>
      <c r="L92" s="56"/>
      <c r="M92" s="56"/>
      <c r="N92" s="56"/>
      <c r="O92" s="56"/>
      <c r="P92" s="56"/>
      <c r="Q92" s="56"/>
      <c r="R92" s="56"/>
      <c r="S92" s="56"/>
      <c r="T92" s="56"/>
      <c r="U92" s="56"/>
      <c r="V92" s="56"/>
      <c r="W92" s="56"/>
      <c r="X92" s="56"/>
      <c r="Y92" s="56"/>
    </row>
    <row r="93" spans="1:25" x14ac:dyDescent="0.3">
      <c r="A93" s="56"/>
      <c r="B93" s="56"/>
      <c r="C93" s="56"/>
      <c r="D93" s="56"/>
      <c r="E93" s="56"/>
      <c r="F93" s="56"/>
      <c r="G93" s="56"/>
      <c r="H93" s="56"/>
      <c r="I93" s="56"/>
      <c r="J93" s="56"/>
      <c r="K93" s="56"/>
      <c r="L93" s="56"/>
      <c r="M93" s="56"/>
      <c r="N93" s="56"/>
      <c r="O93" s="56"/>
      <c r="P93" s="56"/>
      <c r="Q93" s="56"/>
      <c r="R93" s="56"/>
      <c r="S93" s="56"/>
      <c r="T93" s="56"/>
      <c r="U93" s="56"/>
      <c r="V93" s="56"/>
      <c r="W93" s="56"/>
      <c r="X93" s="56"/>
      <c r="Y93" s="56"/>
    </row>
    <row r="94" spans="1:25" x14ac:dyDescent="0.3">
      <c r="A94" s="56"/>
      <c r="B94" s="56"/>
      <c r="C94" s="56"/>
      <c r="D94" s="56"/>
      <c r="E94" s="56"/>
      <c r="F94" s="56"/>
      <c r="G94" s="56"/>
      <c r="H94" s="56"/>
      <c r="I94" s="56"/>
      <c r="J94" s="56"/>
      <c r="K94" s="56"/>
      <c r="L94" s="56"/>
      <c r="M94" s="56"/>
      <c r="N94" s="56"/>
      <c r="O94" s="56"/>
      <c r="P94" s="56"/>
      <c r="Q94" s="56"/>
      <c r="R94" s="56"/>
      <c r="S94" s="56"/>
      <c r="T94" s="56"/>
      <c r="U94" s="56"/>
      <c r="V94" s="56"/>
      <c r="W94" s="56"/>
      <c r="X94" s="56"/>
      <c r="Y94" s="56"/>
    </row>
    <row r="95" spans="1:25" x14ac:dyDescent="0.3">
      <c r="A95" s="56"/>
      <c r="B95" s="56"/>
      <c r="C95" s="56"/>
      <c r="D95" s="56"/>
      <c r="E95" s="56"/>
      <c r="F95" s="56"/>
      <c r="G95" s="56"/>
      <c r="H95" s="56"/>
      <c r="I95" s="56"/>
      <c r="J95" s="56"/>
      <c r="K95" s="56"/>
      <c r="L95" s="56"/>
      <c r="M95" s="56"/>
      <c r="N95" s="56"/>
      <c r="O95" s="56"/>
      <c r="P95" s="56"/>
      <c r="Q95" s="56"/>
      <c r="R95" s="56"/>
      <c r="S95" s="56"/>
      <c r="T95" s="56"/>
      <c r="U95" s="56"/>
      <c r="V95" s="56"/>
      <c r="W95" s="56"/>
      <c r="X95" s="56"/>
      <c r="Y95" s="56"/>
    </row>
    <row r="96" spans="1:25" x14ac:dyDescent="0.3">
      <c r="A96" s="56"/>
      <c r="B96" s="56"/>
      <c r="C96" s="56"/>
      <c r="D96" s="56"/>
      <c r="E96" s="56"/>
      <c r="F96" s="56"/>
      <c r="G96" s="56"/>
      <c r="H96" s="56"/>
      <c r="I96" s="56"/>
      <c r="J96" s="56"/>
      <c r="K96" s="56"/>
      <c r="L96" s="56"/>
      <c r="M96" s="56"/>
      <c r="N96" s="56"/>
      <c r="O96" s="56"/>
      <c r="P96" s="56"/>
      <c r="Q96" s="56"/>
      <c r="R96" s="56"/>
      <c r="S96" s="56"/>
      <c r="T96" s="56"/>
      <c r="U96" s="56"/>
      <c r="V96" s="56"/>
      <c r="W96" s="56"/>
      <c r="X96" s="56"/>
      <c r="Y96" s="56"/>
    </row>
    <row r="97" spans="1:25" x14ac:dyDescent="0.3">
      <c r="A97" s="56"/>
      <c r="B97" s="56"/>
      <c r="C97" s="56"/>
      <c r="D97" s="56"/>
      <c r="E97" s="56"/>
      <c r="F97" s="56"/>
      <c r="G97" s="56"/>
      <c r="H97" s="56"/>
      <c r="I97" s="56"/>
      <c r="J97" s="56"/>
      <c r="K97" s="56"/>
      <c r="L97" s="56"/>
      <c r="M97" s="56"/>
      <c r="N97" s="56"/>
      <c r="O97" s="56"/>
      <c r="P97" s="56"/>
      <c r="Q97" s="56"/>
      <c r="R97" s="56"/>
      <c r="S97" s="56"/>
      <c r="T97" s="56"/>
      <c r="U97" s="56"/>
      <c r="V97" s="56"/>
      <c r="W97" s="56"/>
      <c r="X97" s="56"/>
      <c r="Y97" s="56"/>
    </row>
    <row r="98" spans="1:25" x14ac:dyDescent="0.3">
      <c r="A98" s="56"/>
      <c r="B98" s="56"/>
      <c r="C98" s="56"/>
      <c r="D98" s="56"/>
      <c r="E98" s="56"/>
      <c r="F98" s="56"/>
      <c r="G98" s="56"/>
      <c r="H98" s="56"/>
      <c r="I98" s="56"/>
      <c r="J98" s="56"/>
      <c r="K98" s="56"/>
      <c r="L98" s="56"/>
      <c r="M98" s="56"/>
      <c r="N98" s="56"/>
      <c r="O98" s="56"/>
      <c r="P98" s="56"/>
      <c r="Q98" s="56"/>
      <c r="R98" s="56"/>
      <c r="S98" s="56"/>
      <c r="T98" s="56"/>
      <c r="U98" s="56"/>
      <c r="V98" s="56"/>
      <c r="W98" s="56"/>
      <c r="X98" s="56"/>
      <c r="Y98" s="56"/>
    </row>
    <row r="99" spans="1:25" x14ac:dyDescent="0.3">
      <c r="A99" s="56"/>
      <c r="B99" s="56"/>
      <c r="C99" s="56"/>
      <c r="D99" s="56"/>
      <c r="E99" s="56"/>
      <c r="F99" s="56"/>
      <c r="G99" s="56"/>
      <c r="H99" s="56"/>
      <c r="I99" s="56"/>
      <c r="J99" s="56"/>
      <c r="K99" s="56"/>
      <c r="L99" s="56"/>
      <c r="M99" s="56"/>
      <c r="N99" s="56"/>
      <c r="O99" s="56"/>
      <c r="P99" s="56"/>
      <c r="Q99" s="56"/>
      <c r="R99" s="56"/>
      <c r="S99" s="56"/>
      <c r="T99" s="56"/>
      <c r="U99" s="56"/>
      <c r="V99" s="56"/>
      <c r="W99" s="56"/>
      <c r="X99" s="56"/>
      <c r="Y99" s="56"/>
    </row>
    <row r="100" spans="1:25" x14ac:dyDescent="0.3">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row>
    <row r="101" spans="1:25" x14ac:dyDescent="0.3">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row>
    <row r="102" spans="1:25" x14ac:dyDescent="0.3">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row>
    <row r="103" spans="1:25" x14ac:dyDescent="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row>
    <row r="104" spans="1:25" x14ac:dyDescent="0.3">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row>
    <row r="105" spans="1:25" x14ac:dyDescent="0.3">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row>
    <row r="106" spans="1:25" x14ac:dyDescent="0.3">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row>
    <row r="107" spans="1:25" x14ac:dyDescent="0.3">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row>
    <row r="108" spans="1:25" x14ac:dyDescent="0.3">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row>
    <row r="109" spans="1:25" x14ac:dyDescent="0.3">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row>
    <row r="110" spans="1:25" x14ac:dyDescent="0.3">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row>
    <row r="111" spans="1:25" x14ac:dyDescent="0.3">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row>
    <row r="112" spans="1:25" x14ac:dyDescent="0.3">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row>
    <row r="113" spans="1:25" x14ac:dyDescent="0.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row>
    <row r="114" spans="1:25" x14ac:dyDescent="0.3">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row>
    <row r="115" spans="1:25" x14ac:dyDescent="0.3">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row>
    <row r="116" spans="1:25" x14ac:dyDescent="0.3">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row>
    <row r="117" spans="1:25" x14ac:dyDescent="0.3">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row>
    <row r="118" spans="1:25" x14ac:dyDescent="0.3">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row>
    <row r="119" spans="1:25" x14ac:dyDescent="0.3">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row>
    <row r="120" spans="1:25" x14ac:dyDescent="0.3">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row>
    <row r="121" spans="1:25" x14ac:dyDescent="0.3">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row>
    <row r="122" spans="1:25" x14ac:dyDescent="0.3">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row>
    <row r="123" spans="1:25" x14ac:dyDescent="0.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row>
    <row r="124" spans="1:25" x14ac:dyDescent="0.3">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row>
    <row r="125" spans="1:25" x14ac:dyDescent="0.3">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row>
    <row r="126" spans="1:25" x14ac:dyDescent="0.3">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row>
    <row r="127" spans="1:25" x14ac:dyDescent="0.3">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row>
    <row r="128" spans="1:25" x14ac:dyDescent="0.3">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row>
    <row r="129" spans="1:25" x14ac:dyDescent="0.3">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row>
    <row r="130" spans="1:25" x14ac:dyDescent="0.3">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row>
    <row r="131" spans="1:25" x14ac:dyDescent="0.3">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row>
    <row r="132" spans="1:25" x14ac:dyDescent="0.3">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row>
    <row r="133" spans="1:25" x14ac:dyDescent="0.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row>
    <row r="134" spans="1:25" x14ac:dyDescent="0.3">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row>
    <row r="135" spans="1:25" x14ac:dyDescent="0.3">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row>
    <row r="136" spans="1:25" x14ac:dyDescent="0.3">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row>
    <row r="137" spans="1:25" x14ac:dyDescent="0.3">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row>
    <row r="138" spans="1:25" x14ac:dyDescent="0.3">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row>
    <row r="139" spans="1:25" x14ac:dyDescent="0.3">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row>
    <row r="140" spans="1:25" x14ac:dyDescent="0.3">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row>
    <row r="141" spans="1:25" x14ac:dyDescent="0.3">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row>
    <row r="142" spans="1:25" x14ac:dyDescent="0.3">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row>
    <row r="143" spans="1:25" x14ac:dyDescent="0.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row>
    <row r="144" spans="1:25" x14ac:dyDescent="0.3">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row>
    <row r="145" spans="1:25" x14ac:dyDescent="0.3">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row>
    <row r="146" spans="1:25" x14ac:dyDescent="0.3">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row>
    <row r="147" spans="1:25" x14ac:dyDescent="0.3">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row>
    <row r="148" spans="1:25" x14ac:dyDescent="0.3">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row>
    <row r="149" spans="1:25" x14ac:dyDescent="0.3">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row>
    <row r="150" spans="1:25" x14ac:dyDescent="0.3">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row>
    <row r="151" spans="1:25" x14ac:dyDescent="0.3">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row>
    <row r="152" spans="1:25" x14ac:dyDescent="0.3">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row>
    <row r="153" spans="1:25" x14ac:dyDescent="0.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row>
    <row r="154" spans="1:25" x14ac:dyDescent="0.3">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row>
    <row r="155" spans="1:25" x14ac:dyDescent="0.3">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row>
    <row r="156" spans="1:25" x14ac:dyDescent="0.3">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row>
    <row r="157" spans="1:25" x14ac:dyDescent="0.3">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row>
    <row r="158" spans="1:25" x14ac:dyDescent="0.3">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row>
    <row r="159" spans="1:25" x14ac:dyDescent="0.3">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row>
    <row r="160" spans="1:25" x14ac:dyDescent="0.3">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row>
    <row r="161" spans="1:25" x14ac:dyDescent="0.3">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row>
    <row r="162" spans="1:25" x14ac:dyDescent="0.3">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row>
    <row r="163" spans="1:25" x14ac:dyDescent="0.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row>
    <row r="164" spans="1:25" x14ac:dyDescent="0.3">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row>
    <row r="165" spans="1:25" x14ac:dyDescent="0.3">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row>
    <row r="166" spans="1:25" x14ac:dyDescent="0.3">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row>
    <row r="167" spans="1:25" x14ac:dyDescent="0.3">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row>
    <row r="168" spans="1:25" x14ac:dyDescent="0.3">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row>
    <row r="169" spans="1:25" x14ac:dyDescent="0.3">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row>
    <row r="170" spans="1:25" x14ac:dyDescent="0.3">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row>
    <row r="171" spans="1:25" x14ac:dyDescent="0.3">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row>
    <row r="172" spans="1:25" x14ac:dyDescent="0.3">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row>
    <row r="173" spans="1:25" x14ac:dyDescent="0.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row>
  </sheetData>
  <mergeCells count="1">
    <mergeCell ref="A1:Y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online shopping data</vt:lpstr>
      <vt:lpstr>Questions</vt:lpstr>
      <vt:lpstr>Answers</vt:lpstr>
      <vt:lpstr>Pivot Table</vt:lpstr>
      <vt:lpstr>Pivot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CHANDRIMA</dc:creator>
  <cp:lastModifiedBy>CHANDRIMA</cp:lastModifiedBy>
  <dcterms:created xsi:type="dcterms:W3CDTF">2026-03-20T16:48:11Z</dcterms:created>
  <dcterms:modified xsi:type="dcterms:W3CDTF">2026-03-22T15:44:55Z</dcterms:modified>
</cp:coreProperties>
</file>