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MA\Desktop\"/>
    </mc:Choice>
  </mc:AlternateContent>
  <xr:revisionPtr revIDLastSave="0" documentId="8_{BE56B37E-51B0-42CB-9CC8-11C87DBDC0A3}" xr6:coauthVersionLast="47" xr6:coauthVersionMax="47" xr10:uidLastSave="{00000000-0000-0000-0000-000000000000}"/>
  <bookViews>
    <workbookView xWindow="-108" yWindow="-108" windowWidth="23256" windowHeight="12456" xr2:uid="{BEAD974B-0789-430D-A525-714E6F7F1E47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H3" i="2"/>
  <c r="H4" i="2"/>
  <c r="H5" i="2"/>
  <c r="H6" i="2"/>
  <c r="H8" i="2"/>
  <c r="G3" i="2"/>
  <c r="G4" i="2"/>
  <c r="G5" i="2"/>
  <c r="G6" i="2"/>
  <c r="G7" i="2"/>
  <c r="G8" i="2"/>
  <c r="G2" i="2"/>
  <c r="F3" i="2"/>
  <c r="F4" i="2"/>
  <c r="E3" i="2"/>
  <c r="E4" i="2"/>
  <c r="E5" i="2"/>
  <c r="F5" i="2" s="1"/>
  <c r="E6" i="2"/>
  <c r="F6" i="2" s="1"/>
  <c r="E7" i="2"/>
  <c r="H7" i="2" s="1"/>
  <c r="E2" i="2"/>
  <c r="H2" i="2" s="1"/>
  <c r="D3" i="2"/>
  <c r="D4" i="2"/>
  <c r="D5" i="2"/>
  <c r="D6" i="2"/>
  <c r="D7" i="2"/>
  <c r="D2" i="2"/>
  <c r="F2" i="2" l="1"/>
  <c r="L2" i="2" s="1"/>
  <c r="F7" i="2"/>
</calcChain>
</file>

<file path=xl/sharedStrings.xml><?xml version="1.0" encoding="utf-8"?>
<sst xmlns="http://schemas.openxmlformats.org/spreadsheetml/2006/main" count="27" uniqueCount="24">
  <si>
    <t>Product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</si>
  <si>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</si>
  <si>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</si>
  <si>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</si>
  <si>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</si>
  <si>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</si>
  <si>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</si>
  <si>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</si>
  <si>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</si>
  <si>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 ID</t>
  </si>
  <si>
    <t>Quantity</t>
  </si>
  <si>
    <t>Total Price</t>
  </si>
  <si>
    <t>Prod. Present/Not</t>
  </si>
  <si>
    <t>Discounted Price</t>
  </si>
  <si>
    <t>Maximum Order Value</t>
  </si>
  <si>
    <t>Product H</t>
  </si>
  <si>
    <t>Ordered/Not Ordered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</si>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</sst>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" fillId="3" borderId="1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0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8D3-E9DF-441F-B472-667AEB77A61A}">
  <dimension ref="A1:M18"/>
  <sheetViews>
    <sheetView tabSelected="1" workbookViewId="0">
      <selection activeCell="I8" sqref="I8"/>
    </sheetView>
  </sheetViews>
  <sheetFormatPr defaultRowHeight="14.4" x14ac:dyDescent="0.3"/>
  <cols>
    <col min="1" max="1" width="9.5546875" bestFit="1" customWidth="1"/>
    <col min="4" max="4" width="19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16</v>
      </c>
    </row>
    <row r="2" spans="1:13" x14ac:dyDescent="0.3">
      <c r="A2" s="3">
        <v>101</v>
      </c>
      <c r="B2" s="3" t="s">
        <v>3</v>
      </c>
      <c r="C2" s="3">
        <v>120</v>
      </c>
      <c r="D2" s="4" t="str">
        <f>IF(ISNA(VLOOKUP(A2,Orders!$B$1:$B$8,1,0)),"Not Ordered","Ordered")</f>
        <v>Ordered</v>
      </c>
    </row>
    <row r="3" spans="1:13" x14ac:dyDescent="0.3">
      <c r="A3" s="3">
        <v>102</v>
      </c>
      <c r="B3" s="3" t="s">
        <v>4</v>
      </c>
      <c r="C3" s="3">
        <v>150</v>
      </c>
      <c r="D3" s="4" t="str">
        <f>IF(ISNA(VLOOKUP(A3,Orders!$B$1:$B$8,1,0)),"Not Ordered","Ordered")</f>
        <v>Ordered</v>
      </c>
    </row>
    <row r="4" spans="1:13" x14ac:dyDescent="0.3">
      <c r="A4" s="3">
        <v>103</v>
      </c>
      <c r="B4" s="3" t="s">
        <v>5</v>
      </c>
      <c r="C4" s="3">
        <v>200</v>
      </c>
      <c r="D4" s="4" t="str">
        <f>IF(ISNA(VLOOKUP(A4,Orders!$B$1:$B$8,1,0)),"Not Ordered","Ordered")</f>
        <v>Ordered</v>
      </c>
    </row>
    <row r="5" spans="1:13" x14ac:dyDescent="0.3">
      <c r="A5" s="3">
        <v>104</v>
      </c>
      <c r="B5" s="3" t="s">
        <v>6</v>
      </c>
      <c r="C5" s="3">
        <v>90</v>
      </c>
      <c r="D5" s="4" t="str">
        <f>IF(ISNA(VLOOKUP(A5,Orders!$B$1:$B$8,1,0)),"Not Ordered","Ordered")</f>
        <v>Ordered</v>
      </c>
    </row>
    <row r="6" spans="1:13" x14ac:dyDescent="0.3">
      <c r="A6" s="3">
        <v>105</v>
      </c>
      <c r="B6" s="3" t="s">
        <v>7</v>
      </c>
      <c r="C6" s="3">
        <v>220</v>
      </c>
      <c r="D6" s="4" t="str">
        <f>IF(ISNA(VLOOKUP(A6,Orders!$B$1:$B$8,1,0)),"Not Ordered","Ordered")</f>
        <v>Ordered</v>
      </c>
    </row>
    <row r="7" spans="1:13" x14ac:dyDescent="0.3">
      <c r="A7" s="3">
        <v>106</v>
      </c>
      <c r="B7" s="3" t="s">
        <v>8</v>
      </c>
      <c r="C7" s="3">
        <v>130</v>
      </c>
      <c r="D7" s="4" t="str">
        <f>IF(ISNA(VLOOKUP(A7,Orders!$B$1:$B$8,1,0)),"Not Ordered","Ordered")</f>
        <v>Ordered</v>
      </c>
    </row>
    <row r="8" spans="1:13" x14ac:dyDescent="0.3">
      <c r="A8" s="3">
        <v>108</v>
      </c>
      <c r="B8" s="3" t="s">
        <v>15</v>
      </c>
      <c r="C8" s="3">
        <v>200</v>
      </c>
      <c r="D8" s="4" t="str">
        <f>IF(ISNA(VLOOKUP(A8,Orders!$B$1:$B$8,1,0)),"Not Ordered","Ordered")</f>
        <v>Not Ordered</v>
      </c>
    </row>
    <row r="11" spans="1:13" ht="15" thickBot="1" x14ac:dyDescent="0.35"/>
    <row r="12" spans="1:13" x14ac:dyDescent="0.3">
      <c r="A12" s="8" t="s">
        <v>17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</row>
    <row r="13" spans="1:13" x14ac:dyDescent="0.3">
      <c r="A13" s="11" t="s">
        <v>18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</row>
    <row r="14" spans="1:13" x14ac:dyDescent="0.3">
      <c r="A14" s="11" t="s">
        <v>19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spans="1:13" x14ac:dyDescent="0.3">
      <c r="A15" s="11" t="s">
        <v>20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</row>
    <row r="16" spans="1:13" x14ac:dyDescent="0.3">
      <c r="A16" s="11" t="s">
        <v>21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</row>
    <row r="17" spans="1:13" x14ac:dyDescent="0.3">
      <c r="A17" s="11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  <row r="18" spans="1:13" ht="15" thickBot="1" x14ac:dyDescent="0.35">
      <c r="A18" s="14" t="s">
        <v>23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64B0-F550-4005-B316-77513E664063}">
  <dimension ref="A1:L9"/>
  <sheetViews>
    <sheetView workbookViewId="0">
      <selection activeCell="F14" sqref="F14"/>
    </sheetView>
  </sheetViews>
  <sheetFormatPr defaultRowHeight="14.4" x14ac:dyDescent="0.3"/>
  <cols>
    <col min="2" max="2" width="9.5546875" bestFit="1" customWidth="1"/>
    <col min="4" max="4" width="9.6640625" bestFit="1" customWidth="1"/>
    <col min="6" max="6" width="9.6640625" bestFit="1" customWidth="1"/>
    <col min="7" max="7" width="15.88671875" bestFit="1" customWidth="1"/>
    <col min="8" max="8" width="14.6640625" bestFit="1" customWidth="1"/>
    <col min="11" max="11" width="20.21875" bestFit="1" customWidth="1"/>
  </cols>
  <sheetData>
    <row r="1" spans="1:12" x14ac:dyDescent="0.3">
      <c r="A1" s="1" t="s">
        <v>9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11</v>
      </c>
      <c r="G1" s="1" t="s">
        <v>12</v>
      </c>
      <c r="H1" s="1" t="s">
        <v>13</v>
      </c>
    </row>
    <row r="2" spans="1:12" x14ac:dyDescent="0.3">
      <c r="A2" s="3">
        <v>1</v>
      </c>
      <c r="B2" s="3">
        <v>101</v>
      </c>
      <c r="C2" s="3">
        <v>2</v>
      </c>
      <c r="D2" s="3" t="str">
        <f>VLOOKUP(B2,Products!$A$1:$C$7,2,0)</f>
        <v>Product A</v>
      </c>
      <c r="E2" s="4">
        <f>VLOOKUP(B2,Products!$A$1:$C$7,3,0)</f>
        <v>120</v>
      </c>
      <c r="F2" s="4">
        <f>C2*E2</f>
        <v>240</v>
      </c>
      <c r="G2" s="4" t="str">
        <f>IF(ISNA(VLOOKUP(B2,Products!$A$1:$A$7,1,0)),"No","Yes")</f>
        <v>Yes</v>
      </c>
      <c r="H2" s="4">
        <f>E2-E2*10%</f>
        <v>108</v>
      </c>
      <c r="K2" s="7" t="s">
        <v>14</v>
      </c>
      <c r="L2" s="7">
        <f>MAX(F2:F7)</f>
        <v>880</v>
      </c>
    </row>
    <row r="3" spans="1:12" x14ac:dyDescent="0.3">
      <c r="A3" s="3">
        <v>2</v>
      </c>
      <c r="B3" s="3">
        <v>103</v>
      </c>
      <c r="C3" s="3">
        <v>1</v>
      </c>
      <c r="D3" s="3" t="str">
        <f>VLOOKUP(B3,Products!$A$1:$C$7,2,0)</f>
        <v>Product C</v>
      </c>
      <c r="E3" s="4">
        <f>VLOOKUP(B3,Products!$A$1:$C$7,3,0)</f>
        <v>200</v>
      </c>
      <c r="F3" s="4">
        <f t="shared" ref="F3:F7" si="0">C3*E3</f>
        <v>200</v>
      </c>
      <c r="G3" s="4" t="str">
        <f>IF(ISNA(VLOOKUP(B3,Products!$A$1:$A$7,1,0)),"No","Yes")</f>
        <v>Yes</v>
      </c>
      <c r="H3" s="4">
        <f t="shared" ref="H3:H8" si="1">E3-E3*10%</f>
        <v>180</v>
      </c>
    </row>
    <row r="4" spans="1:12" x14ac:dyDescent="0.3">
      <c r="A4" s="3">
        <v>3</v>
      </c>
      <c r="B4" s="3">
        <v>105</v>
      </c>
      <c r="C4" s="3">
        <v>4</v>
      </c>
      <c r="D4" s="3" t="str">
        <f>VLOOKUP(B4,Products!$A$1:$C$7,2,0)</f>
        <v>Product E</v>
      </c>
      <c r="E4" s="4">
        <f>VLOOKUP(B4,Products!$A$1:$C$7,3,0)</f>
        <v>220</v>
      </c>
      <c r="F4" s="4">
        <f t="shared" si="0"/>
        <v>880</v>
      </c>
      <c r="G4" s="4" t="str">
        <f>IF(ISNA(VLOOKUP(B4,Products!$A$1:$A$7,1,0)),"No","Yes")</f>
        <v>Yes</v>
      </c>
      <c r="H4" s="4">
        <f t="shared" si="1"/>
        <v>198</v>
      </c>
    </row>
    <row r="5" spans="1:12" x14ac:dyDescent="0.3">
      <c r="A5" s="3">
        <v>4</v>
      </c>
      <c r="B5" s="3">
        <v>106</v>
      </c>
      <c r="C5" s="3">
        <v>3</v>
      </c>
      <c r="D5" s="3" t="str">
        <f>VLOOKUP(B5,Products!$A$1:$C$7,2,0)</f>
        <v>Product F</v>
      </c>
      <c r="E5" s="4">
        <f>VLOOKUP(B5,Products!$A$1:$C$7,3,0)</f>
        <v>130</v>
      </c>
      <c r="F5" s="4">
        <f t="shared" si="0"/>
        <v>390</v>
      </c>
      <c r="G5" s="4" t="str">
        <f>IF(ISNA(VLOOKUP(B5,Products!$A$1:$A$7,1,0)),"No","Yes")</f>
        <v>Yes</v>
      </c>
      <c r="H5" s="4">
        <f t="shared" si="1"/>
        <v>117</v>
      </c>
    </row>
    <row r="6" spans="1:12" x14ac:dyDescent="0.3">
      <c r="A6" s="3">
        <v>5</v>
      </c>
      <c r="B6" s="3">
        <v>102</v>
      </c>
      <c r="C6" s="3">
        <v>5</v>
      </c>
      <c r="D6" s="3" t="str">
        <f>VLOOKUP(B6,Products!$A$1:$C$7,2,0)</f>
        <v>Product B</v>
      </c>
      <c r="E6" s="4">
        <f>VLOOKUP(B6,Products!$A$1:$C$7,3,0)</f>
        <v>150</v>
      </c>
      <c r="F6" s="4">
        <f t="shared" si="0"/>
        <v>750</v>
      </c>
      <c r="G6" s="4" t="str">
        <f>IF(ISNA(VLOOKUP(B6,Products!$A$1:$A$7,1,0)),"No","Yes")</f>
        <v>Yes</v>
      </c>
      <c r="H6" s="4">
        <f t="shared" si="1"/>
        <v>135</v>
      </c>
    </row>
    <row r="7" spans="1:12" x14ac:dyDescent="0.3">
      <c r="A7" s="5">
        <v>6</v>
      </c>
      <c r="B7" s="5">
        <v>104</v>
      </c>
      <c r="C7" s="5">
        <v>6</v>
      </c>
      <c r="D7" s="5" t="str">
        <f>VLOOKUP(B7,Products!$A$1:$C$7,2,0)</f>
        <v>Product D</v>
      </c>
      <c r="E7" s="6">
        <f>VLOOKUP(B7,Products!$A$1:$C$7,3,0)</f>
        <v>90</v>
      </c>
      <c r="F7" s="6">
        <f t="shared" si="0"/>
        <v>540</v>
      </c>
      <c r="G7" s="4" t="str">
        <f>IF(ISNA(VLOOKUP(B7,Products!$A$1:$A$7,1,0)),"No","Yes")</f>
        <v>Yes</v>
      </c>
      <c r="H7" s="4">
        <f t="shared" si="1"/>
        <v>81</v>
      </c>
    </row>
    <row r="8" spans="1:12" x14ac:dyDescent="0.3">
      <c r="A8" s="3">
        <v>7</v>
      </c>
      <c r="B8" s="3">
        <v>107</v>
      </c>
      <c r="C8" s="4"/>
      <c r="D8" s="4"/>
      <c r="E8" s="4"/>
      <c r="F8" s="4"/>
      <c r="G8" s="4" t="str">
        <f>IF(ISNA(VLOOKUP(B8,Products!$A$1:$A$7,1,0)),"No","Yes")</f>
        <v>No</v>
      </c>
      <c r="H8" s="4">
        <f t="shared" si="1"/>
        <v>0</v>
      </c>
    </row>
    <row r="9" spans="1:12" x14ac:dyDescent="0.3">
      <c r="A9" s="2"/>
      <c r="C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CHANDRIMA</cp:lastModifiedBy>
  <dcterms:created xsi:type="dcterms:W3CDTF">2026-03-08T19:04:19Z</dcterms:created>
  <dcterms:modified xsi:type="dcterms:W3CDTF">2026-03-10T09:44:28Z</dcterms:modified>
</cp:coreProperties>
</file>