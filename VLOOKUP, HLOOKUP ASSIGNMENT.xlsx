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MA\Desktop\"/>
    </mc:Choice>
  </mc:AlternateContent>
  <xr:revisionPtr revIDLastSave="0" documentId="8_{F885A5AE-B6D2-4343-94A2-DA89C322AE98}" xr6:coauthVersionLast="47" xr6:coauthVersionMax="47" xr10:uidLastSave="{00000000-0000-0000-0000-000000000000}"/>
  <bookViews>
    <workbookView xWindow="-108" yWindow="-108" windowWidth="23256" windowHeight="12456" activeTab="3" xr2:uid="{DE814B82-EA0A-4FC7-9C31-3E8B3A8F9DA5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4" l="1"/>
  <c r="I16" i="4"/>
  <c r="I12" i="4"/>
  <c r="I8" i="4"/>
  <c r="I4" i="4"/>
  <c r="K12" i="3"/>
  <c r="H12" i="3"/>
  <c r="I20" i="1"/>
  <c r="I15" i="1"/>
  <c r="H22" i="3"/>
  <c r="H18" i="3"/>
  <c r="H8" i="3"/>
  <c r="H4" i="3"/>
  <c r="H16" i="2"/>
  <c r="H12" i="2"/>
  <c r="H8" i="2"/>
  <c r="H4" i="2"/>
  <c r="I11" i="1"/>
  <c r="I7" i="1"/>
  <c r="I3" i="1"/>
</calcChain>
</file>

<file path=xl/sharedStrings.xml><?xml version="1.0" encoding="utf-8"?>
<sst xmlns="http://schemas.openxmlformats.org/spreadsheetml/2006/main" count="168" uniqueCount="116">
  <si>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</si>
  <si>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</si>
  <si>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</si>
  <si>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</si>
  <si>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</si>
  <si>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</si>
  <si>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</si>
  <si>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</si>
  <si>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</si>
  <si>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</si>
  <si>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</si>
  <si>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</si>
  <si>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</si>
  <si>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</si>
  <si>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r>
      <t xml:space="preserve">1. Find the </t>
    </r>
    <r>
      <rPr>
        <b/>
        <sz val="11"/>
        <color theme="1"/>
        <rFont val="Calibri"/>
        <family val="2"/>
        <scheme val="minor"/>
      </rPr>
      <t>Price of product P103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HLOOKUP</t>
    </r>
    <r>
      <rPr>
        <sz val="11"/>
        <color theme="1"/>
        <rFont val="Calibri"/>
        <family val="2"/>
        <scheme val="minor"/>
      </rPr>
      <t>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</si>
  <si>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Stock of P104</t>
    </r>
    <r>
      <rPr>
        <sz val="11"/>
        <color theme="1"/>
        <rFont val="Calibri"/>
        <family val="2"/>
        <scheme val="minor"/>
      </rPr>
      <t>.</t>
    </r>
  </si>
  <si>
    <r>
      <t xml:space="preserve">3. Retrieve </t>
    </r>
    <r>
      <rPr>
        <b/>
        <sz val="11"/>
        <color theme="1"/>
        <rFont val="Calibri"/>
        <family val="2"/>
        <scheme val="minor"/>
      </rPr>
      <t>Product Name of P101</t>
    </r>
    <r>
      <rPr>
        <sz val="11"/>
        <color theme="1"/>
        <rFont val="Calibri"/>
        <family val="2"/>
        <scheme val="minor"/>
      </rPr>
      <t>.</t>
    </r>
  </si>
  <si>
    <r>
      <t xml:space="preserve">4. If </t>
    </r>
    <r>
      <rPr>
        <b/>
        <sz val="11"/>
        <color theme="1"/>
        <rFont val="Calibri"/>
        <family val="2"/>
        <scheme val="minor"/>
      </rPr>
      <t>Product ID 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>.</t>
    </r>
  </si>
  <si>
    <r>
      <t xml:space="preserve">5. If </t>
    </r>
    <r>
      <rPr>
        <b/>
        <sz val="11"/>
        <color theme="1"/>
        <rFont val="Calibri"/>
        <family val="2"/>
        <scheme val="minor"/>
      </rPr>
      <t>Product ID is 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Stock</t>
    </r>
    <r>
      <rPr>
        <sz val="11"/>
        <color theme="1"/>
        <rFont val="Calibri"/>
        <family val="2"/>
        <scheme val="minor"/>
      </rPr>
      <t>.</t>
    </r>
  </si>
  <si>
    <r>
      <t xml:space="preserve">Retrieve </t>
    </r>
    <r>
      <rPr>
        <b/>
        <sz val="11"/>
        <color theme="1"/>
        <rFont val="Calibri"/>
        <family val="2"/>
        <scheme val="minor"/>
      </rPr>
      <t>Course name for C103</t>
    </r>
    <r>
      <rPr>
        <sz val="11"/>
        <color theme="1"/>
        <rFont val="Calibri"/>
        <family val="2"/>
        <scheme val="minor"/>
      </rPr>
      <t>.</t>
    </r>
  </si>
  <si>
    <r>
      <t xml:space="preserve">Retrieve </t>
    </r>
    <r>
      <rPr>
        <b/>
        <sz val="11"/>
        <color theme="1"/>
        <rFont val="Calibri"/>
        <family val="2"/>
        <scheme val="minor"/>
      </rPr>
      <t>Fees for C104</t>
    </r>
    <r>
      <rPr>
        <sz val="11"/>
        <color theme="1"/>
        <rFont val="Calibri"/>
        <family val="2"/>
        <scheme val="minor"/>
      </rPr>
      <t>.</t>
    </r>
  </si>
  <si>
    <r>
      <t xml:space="preserve">If </t>
    </r>
    <r>
      <rPr>
        <b/>
        <sz val="11"/>
        <color theme="1"/>
        <rFont val="Calibri"/>
        <family val="2"/>
        <scheme val="minor"/>
      </rPr>
      <t>Course ID entered in any cell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.</t>
    </r>
  </si>
  <si>
    <r>
      <t xml:space="preserve">If </t>
    </r>
    <r>
      <rPr>
        <b/>
        <sz val="11"/>
        <color theme="1"/>
        <rFont val="Calibri"/>
        <family val="2"/>
        <scheme val="minor"/>
      </rPr>
      <t>Course ID entered in any cell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Fees</t>
    </r>
    <r>
      <rPr>
        <sz val="11"/>
        <color theme="1"/>
        <rFont val="Calibri"/>
        <family val="2"/>
        <scheme val="minor"/>
      </rPr>
      <t>.</t>
    </r>
  </si>
  <si>
    <t>ID</t>
  </si>
  <si>
    <t>Name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</si>
  <si>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</si>
  <si>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</si>
  <si>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</si>
  <si>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</si>
  <si>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</si>
  <si>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</si>
  <si>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</si>
  <si>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</si>
  <si>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</si>
  <si>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</si>
  <si>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</si>
  <si>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</si>
  <si>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Neha</t>
  </si>
  <si>
    <t>Python</t>
  </si>
  <si>
    <t>C105</t>
  </si>
  <si>
    <t>Arman</t>
  </si>
  <si>
    <t>Tableau</t>
  </si>
  <si>
    <t>Emp ID</t>
  </si>
  <si>
    <t>Department</t>
  </si>
  <si>
    <t>Salary</t>
  </si>
  <si>
    <t>City</t>
  </si>
  <si>
    <t>E101</t>
  </si>
  <si>
    <t>Riya</t>
  </si>
  <si>
    <t>HR</t>
  </si>
  <si>
    <t>Delhi</t>
  </si>
  <si>
    <t>E102</t>
  </si>
  <si>
    <t>Rahul</t>
  </si>
  <si>
    <t>IT</t>
  </si>
  <si>
    <t>Mumbai</t>
  </si>
  <si>
    <t>E103</t>
  </si>
  <si>
    <t>Priya</t>
  </si>
  <si>
    <t>Kolkata</t>
  </si>
  <si>
    <t>E104</t>
  </si>
  <si>
    <t>Arjun</t>
  </si>
  <si>
    <t>Bangalore</t>
  </si>
  <si>
    <t>E105</t>
  </si>
  <si>
    <t>Sneha</t>
  </si>
  <si>
    <t>Marketing</t>
  </si>
  <si>
    <t>Chennai</t>
  </si>
  <si>
    <t>Student ID</t>
  </si>
  <si>
    <t>Math</t>
  </si>
  <si>
    <t>Science</t>
  </si>
  <si>
    <t>English</t>
  </si>
  <si>
    <t>Meena</t>
  </si>
  <si>
    <t>Kiran</t>
  </si>
  <si>
    <r>
      <t xml:space="preserve">1. Find </t>
    </r>
    <r>
      <rPr>
        <b/>
        <sz val="11"/>
        <color theme="1"/>
        <rFont val="Calibri"/>
        <family val="2"/>
        <scheme val="minor"/>
      </rPr>
      <t>Maths marks of S003</t>
    </r>
    <r>
      <rPr>
        <sz val="11"/>
        <color theme="1"/>
        <rFont val="Calibri"/>
        <family val="2"/>
        <scheme val="minor"/>
      </rPr>
      <t>.</t>
    </r>
  </si>
  <si>
    <r>
      <t xml:space="preserve">2. Find </t>
    </r>
    <r>
      <rPr>
        <b/>
        <sz val="11"/>
        <color theme="1"/>
        <rFont val="Calibri"/>
        <family val="2"/>
        <scheme val="minor"/>
      </rPr>
      <t>Science marks of S002</t>
    </r>
    <r>
      <rPr>
        <sz val="11"/>
        <color theme="1"/>
        <rFont val="Calibri"/>
        <family val="2"/>
        <scheme val="minor"/>
      </rPr>
      <t>.</t>
    </r>
  </si>
  <si>
    <r>
      <t xml:space="preserve">3. Find </t>
    </r>
    <r>
      <rPr>
        <b/>
        <sz val="11"/>
        <color theme="1"/>
        <rFont val="Calibri"/>
        <family val="2"/>
        <scheme val="minor"/>
      </rPr>
      <t>English marks of S105</t>
    </r>
    <r>
      <rPr>
        <sz val="11"/>
        <color theme="1"/>
        <rFont val="Calibri"/>
        <family val="2"/>
        <scheme val="minor"/>
      </rPr>
      <t>.</t>
    </r>
  </si>
  <si>
    <r>
      <t xml:space="preserve">4. If </t>
    </r>
    <r>
      <rPr>
        <b/>
        <sz val="11"/>
        <color theme="1"/>
        <rFont val="Calibri"/>
        <family val="2"/>
        <scheme val="minor"/>
      </rPr>
      <t>Student ID is 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.</t>
    </r>
  </si>
  <si>
    <r>
      <t xml:space="preserve">5. Retrieve </t>
    </r>
    <r>
      <rPr>
        <b/>
        <sz val="11"/>
        <color theme="1"/>
        <rFont val="Calibri"/>
        <family val="2"/>
        <scheme val="minor"/>
      </rPr>
      <t>Science marks dynamically using Student ID in any cell</t>
    </r>
    <r>
      <rPr>
        <sz val="11"/>
        <color theme="1"/>
        <rFont val="Calibri"/>
        <family val="2"/>
        <scheme val="minor"/>
      </rPr>
      <t>.</t>
    </r>
  </si>
  <si>
    <r>
      <t xml:space="preserve">1. Find the </t>
    </r>
    <r>
      <rPr>
        <b/>
        <sz val="11"/>
        <color theme="1"/>
        <rFont val="Calibri"/>
        <family val="2"/>
        <scheme val="minor"/>
      </rPr>
      <t>Name of employee with Emp ID E104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>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</si>
  <si>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Department of employee E105</t>
    </r>
    <r>
      <rPr>
        <sz val="11"/>
        <color theme="1"/>
        <rFont val="Calibri"/>
        <family val="2"/>
        <scheme val="minor"/>
      </rPr>
      <t>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</si>
  <si>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Salary of employee E108</t>
    </r>
    <r>
      <rPr>
        <sz val="11"/>
        <color theme="1"/>
        <rFont val="Calibri"/>
        <family val="2"/>
        <scheme val="minor"/>
      </rPr>
      <t>.</t>
    </r>
  </si>
  <si>
    <t>Price of Product</t>
  </si>
  <si>
    <r>
      <rPr>
        <b/>
        <sz val="11"/>
        <color theme="1"/>
        <rFont val="Calibri"/>
        <family val="2"/>
        <scheme val="minor"/>
      </rPr>
      <t>Question</t>
    </r>
    <r>
      <rPr>
        <sz val="11"/>
        <color theme="1"/>
        <rFont val="Calibri"/>
        <family val="2"/>
        <scheme val="minor"/>
      </rPr>
      <t xml:space="preserve"> 1</t>
    </r>
  </si>
  <si>
    <t>Question 2</t>
  </si>
  <si>
    <t>Retrieve Product Name</t>
  </si>
  <si>
    <t>Question 3</t>
  </si>
  <si>
    <t>Retrieve Course Name</t>
  </si>
  <si>
    <t>Retreieve Fees</t>
  </si>
  <si>
    <t>Name of Employee</t>
  </si>
  <si>
    <t>Retrieve the Salary</t>
  </si>
  <si>
    <t>Retrieve the Department</t>
  </si>
  <si>
    <t>Math Marks</t>
  </si>
  <si>
    <t>Science Marks</t>
  </si>
  <si>
    <t>English Marks</t>
  </si>
  <si>
    <t>Retrieve Science Marks</t>
  </si>
  <si>
    <t>Question 4</t>
  </si>
  <si>
    <t>Question 5</t>
  </si>
  <si>
    <t>Question 1</t>
  </si>
  <si>
    <r>
      <t xml:space="preserve">5. If </t>
    </r>
    <r>
      <rPr>
        <b/>
        <sz val="11"/>
        <color theme="1"/>
        <rFont val="Calibri"/>
        <family val="2"/>
        <scheme val="minor"/>
      </rPr>
      <t>Emp ID is entered in any cell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Salary automatically</t>
    </r>
    <r>
      <rPr>
        <sz val="11"/>
        <color theme="1"/>
        <rFont val="Calibri"/>
        <family val="2"/>
        <scheme val="minor"/>
      </rPr>
      <t>.</t>
    </r>
  </si>
  <si>
    <r>
      <t xml:space="preserve">6. If </t>
    </r>
    <r>
      <rPr>
        <b/>
        <sz val="11"/>
        <color theme="1"/>
        <rFont val="Calibri"/>
        <family val="2"/>
        <scheme val="minor"/>
      </rPr>
      <t>Emp ID is entered in any cell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>.</t>
    </r>
  </si>
  <si>
    <t>Amit</t>
  </si>
  <si>
    <t>Finance</t>
  </si>
  <si>
    <t>Pune</t>
  </si>
  <si>
    <t>E106</t>
  </si>
  <si>
    <t>E107</t>
  </si>
  <si>
    <t>E108</t>
  </si>
  <si>
    <t>Karan</t>
  </si>
  <si>
    <t>Question 6</t>
  </si>
  <si>
    <t>4. Find the City of employee E105.</t>
  </si>
  <si>
    <t>of  S103.</t>
  </si>
  <si>
    <t>of S102</t>
  </si>
  <si>
    <t>S101</t>
  </si>
  <si>
    <t>S102</t>
  </si>
  <si>
    <t>S103</t>
  </si>
  <si>
    <t>S104</t>
  </si>
  <si>
    <t>S105</t>
  </si>
  <si>
    <t>Asha</t>
  </si>
  <si>
    <t>Ravi</t>
  </si>
  <si>
    <t>loyee E103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</si>
</sst>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2" xfId="0" applyFill="1" applyBorder="1" applyAlignment="1">
      <alignment horizontal="left" vertical="center" indent="1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 applyAlignment="1">
      <alignment horizontal="left" vertical="center" indent="1"/>
    </xf>
    <xf numFmtId="0" fontId="0" fillId="5" borderId="0" xfId="0" applyFill="1"/>
    <xf numFmtId="0" fontId="0" fillId="5" borderId="6" xfId="0" applyFill="1" applyBorder="1"/>
    <xf numFmtId="0" fontId="0" fillId="5" borderId="7" xfId="0" applyFill="1" applyBorder="1" applyAlignment="1">
      <alignment horizontal="left" vertical="center" indent="1"/>
    </xf>
    <xf numFmtId="0" fontId="0" fillId="5" borderId="8" xfId="0" applyFill="1" applyBorder="1"/>
    <xf numFmtId="0" fontId="0" fillId="5" borderId="9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5" borderId="2" xfId="0" applyFill="1" applyBorder="1"/>
    <xf numFmtId="0" fontId="0" fillId="5" borderId="5" xfId="0" applyFill="1" applyBorder="1"/>
    <xf numFmtId="0" fontId="0" fillId="5" borderId="7" xfId="0" applyFill="1" applyBorder="1"/>
    <xf numFmtId="0" fontId="1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0" borderId="10" xfId="0" applyBorder="1"/>
    <xf numFmtId="0" fontId="0" fillId="0" borderId="10" xfId="0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4" borderId="1" xfId="0" applyFill="1" applyBorder="1"/>
    <xf numFmtId="0" fontId="0" fillId="4" borderId="0" xfId="0" applyFill="1" applyBorder="1"/>
    <xf numFmtId="0" fontId="0" fillId="4" borderId="2" xfId="0" applyFill="1" applyBorder="1" applyAlignment="1">
      <alignment horizontal="left" vertical="center" indent="1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left" vertical="center" indent="1"/>
    </xf>
    <xf numFmtId="0" fontId="0" fillId="4" borderId="6" xfId="0" applyFill="1" applyBorder="1"/>
    <xf numFmtId="0" fontId="0" fillId="4" borderId="7" xfId="0" applyFill="1" applyBorder="1" applyAlignment="1">
      <alignment horizontal="left" vertical="center" indent="1"/>
    </xf>
    <xf numFmtId="0" fontId="0" fillId="4" borderId="8" xfId="0" applyFill="1" applyBorder="1"/>
    <xf numFmtId="0" fontId="0" fillId="4" borderId="9" xfId="0" applyFill="1" applyBorder="1"/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15" borderId="0" xfId="0" applyFill="1" applyBorder="1"/>
    <xf numFmtId="0" fontId="1" fillId="15" borderId="0" xfId="0" applyFont="1" applyFill="1" applyBorder="1"/>
    <xf numFmtId="0" fontId="0" fillId="15" borderId="2" xfId="0" applyFill="1" applyBorder="1" applyAlignment="1">
      <alignment horizontal="left" vertical="center" indent="1"/>
    </xf>
    <xf numFmtId="0" fontId="0" fillId="15" borderId="3" xfId="0" applyFill="1" applyBorder="1"/>
    <xf numFmtId="0" fontId="1" fillId="15" borderId="3" xfId="0" applyFont="1" applyFill="1" applyBorder="1"/>
    <xf numFmtId="0" fontId="0" fillId="15" borderId="4" xfId="0" applyFill="1" applyBorder="1"/>
    <xf numFmtId="0" fontId="0" fillId="15" borderId="5" xfId="0" applyFill="1" applyBorder="1" applyAlignment="1">
      <alignment horizontal="left" vertical="center" indent="1"/>
    </xf>
    <xf numFmtId="0" fontId="0" fillId="15" borderId="6" xfId="0" applyFill="1" applyBorder="1"/>
    <xf numFmtId="0" fontId="0" fillId="15" borderId="7" xfId="0" applyFill="1" applyBorder="1" applyAlignment="1">
      <alignment horizontal="left" vertical="center" indent="1"/>
    </xf>
    <xf numFmtId="0" fontId="0" fillId="15" borderId="8" xfId="0" applyFill="1" applyBorder="1"/>
    <xf numFmtId="0" fontId="0" fillId="15" borderId="9" xfId="0" applyFill="1" applyBorder="1"/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CCFF"/>
      <color rgb="FFFF6699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C26C-D43D-4DB5-A153-6326F2B5B95F}">
  <dimension ref="A1:I20"/>
  <sheetViews>
    <sheetView workbookViewId="0">
      <selection activeCell="C24" sqref="C24"/>
    </sheetView>
  </sheetViews>
  <sheetFormatPr defaultRowHeight="14.4" x14ac:dyDescent="0.3"/>
  <cols>
    <col min="1" max="1" width="13.44140625" customWidth="1"/>
    <col min="9" max="9" width="20.109375" bestFit="1" customWidth="1"/>
  </cols>
  <sheetData>
    <row r="1" spans="1:9" ht="15.6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26" t="s">
        <v>79</v>
      </c>
      <c r="I1" s="26"/>
    </row>
    <row r="2" spans="1:9" ht="14.4" customHeight="1" x14ac:dyDescent="0.3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H2" s="3"/>
      <c r="I2" s="2" t="s">
        <v>78</v>
      </c>
    </row>
    <row r="3" spans="1:9" x14ac:dyDescent="0.3">
      <c r="A3" s="5" t="s">
        <v>12</v>
      </c>
      <c r="B3" s="5">
        <v>55000</v>
      </c>
      <c r="C3" s="5">
        <v>500</v>
      </c>
      <c r="D3" s="5">
        <v>1200</v>
      </c>
      <c r="E3" s="5">
        <v>9000</v>
      </c>
      <c r="F3" s="5">
        <v>7000</v>
      </c>
      <c r="H3" s="1" t="s">
        <v>3</v>
      </c>
      <c r="I3" s="3">
        <f>HLOOKUP(H3,A1:F4,3,0)</f>
        <v>1200</v>
      </c>
    </row>
    <row r="4" spans="1:9" x14ac:dyDescent="0.3">
      <c r="A4" s="5" t="s">
        <v>13</v>
      </c>
      <c r="B4" s="5">
        <v>25</v>
      </c>
      <c r="C4" s="5">
        <v>150</v>
      </c>
      <c r="D4" s="5">
        <v>80</v>
      </c>
      <c r="E4" s="5">
        <v>40</v>
      </c>
      <c r="F4" s="5">
        <v>35</v>
      </c>
    </row>
    <row r="5" spans="1:9" x14ac:dyDescent="0.3">
      <c r="H5" s="27" t="s">
        <v>80</v>
      </c>
      <c r="I5" s="26"/>
    </row>
    <row r="6" spans="1:9" x14ac:dyDescent="0.3">
      <c r="H6" s="3"/>
      <c r="I6" s="3" t="s">
        <v>13</v>
      </c>
    </row>
    <row r="7" spans="1:9" x14ac:dyDescent="0.3">
      <c r="H7" s="1" t="s">
        <v>4</v>
      </c>
      <c r="I7" s="3">
        <f>HLOOKUP(H7,A1:F4,4,0)</f>
        <v>40</v>
      </c>
    </row>
    <row r="8" spans="1:9" ht="15" thickBot="1" x14ac:dyDescent="0.35"/>
    <row r="9" spans="1:9" x14ac:dyDescent="0.3">
      <c r="A9" s="6" t="s">
        <v>14</v>
      </c>
      <c r="B9" s="7"/>
      <c r="C9" s="7"/>
      <c r="D9" s="7"/>
      <c r="E9" s="8"/>
      <c r="H9" s="27" t="s">
        <v>82</v>
      </c>
      <c r="I9" s="27"/>
    </row>
    <row r="10" spans="1:9" x14ac:dyDescent="0.3">
      <c r="A10" s="9"/>
      <c r="B10" s="10"/>
      <c r="C10" s="10"/>
      <c r="D10" s="10"/>
      <c r="E10" s="11"/>
      <c r="H10" s="3"/>
      <c r="I10" s="3" t="s">
        <v>81</v>
      </c>
    </row>
    <row r="11" spans="1:9" x14ac:dyDescent="0.3">
      <c r="A11" s="9" t="s">
        <v>15</v>
      </c>
      <c r="B11" s="10"/>
      <c r="C11" s="10"/>
      <c r="D11" s="10"/>
      <c r="E11" s="11"/>
      <c r="H11" s="1" t="s">
        <v>1</v>
      </c>
      <c r="I11" s="3" t="str">
        <f>HLOOKUP(H11,A1:F4,2,0)</f>
        <v>Laptop</v>
      </c>
    </row>
    <row r="12" spans="1:9" x14ac:dyDescent="0.3">
      <c r="A12" s="9"/>
      <c r="B12" s="10"/>
      <c r="C12" s="10"/>
      <c r="D12" s="10"/>
      <c r="E12" s="11"/>
    </row>
    <row r="13" spans="1:9" x14ac:dyDescent="0.3">
      <c r="A13" s="9" t="s">
        <v>16</v>
      </c>
      <c r="B13" s="10"/>
      <c r="C13" s="10"/>
      <c r="D13" s="10"/>
      <c r="E13" s="11"/>
      <c r="H13" s="27" t="s">
        <v>92</v>
      </c>
      <c r="I13" s="27"/>
    </row>
    <row r="14" spans="1:9" x14ac:dyDescent="0.3">
      <c r="A14" s="9"/>
      <c r="B14" s="10"/>
      <c r="C14" s="10"/>
      <c r="D14" s="10"/>
      <c r="E14" s="11"/>
      <c r="H14" s="3"/>
      <c r="I14" s="3" t="s">
        <v>12</v>
      </c>
    </row>
    <row r="15" spans="1:9" x14ac:dyDescent="0.3">
      <c r="A15" s="9" t="s">
        <v>17</v>
      </c>
      <c r="B15" s="10"/>
      <c r="C15" s="10"/>
      <c r="D15" s="10"/>
      <c r="E15" s="11"/>
      <c r="H15" s="1" t="s">
        <v>3</v>
      </c>
      <c r="I15" s="3">
        <f>HLOOKUP(H15,A1:F4,3,0)</f>
        <v>1200</v>
      </c>
    </row>
    <row r="16" spans="1:9" x14ac:dyDescent="0.3">
      <c r="A16" s="9"/>
      <c r="B16" s="10"/>
      <c r="C16" s="10"/>
      <c r="D16" s="10"/>
      <c r="E16" s="11"/>
    </row>
    <row r="17" spans="1:9" ht="15" thickBot="1" x14ac:dyDescent="0.35">
      <c r="A17" s="12" t="s">
        <v>18</v>
      </c>
      <c r="B17" s="13"/>
      <c r="C17" s="13"/>
      <c r="D17" s="13"/>
      <c r="E17" s="14"/>
    </row>
    <row r="18" spans="1:9" x14ac:dyDescent="0.3">
      <c r="H18" s="27" t="s">
        <v>93</v>
      </c>
      <c r="I18" s="27"/>
    </row>
    <row r="19" spans="1:9" x14ac:dyDescent="0.3">
      <c r="H19" s="3"/>
      <c r="I19" s="3" t="s">
        <v>13</v>
      </c>
    </row>
    <row r="20" spans="1:9" x14ac:dyDescent="0.3">
      <c r="H20" s="1" t="s">
        <v>3</v>
      </c>
      <c r="I20" s="3">
        <f>HLOOKUP(H20,A1:F4,4,0)</f>
        <v>80</v>
      </c>
    </row>
  </sheetData>
  <mergeCells count="5">
    <mergeCell ref="H1:I1"/>
    <mergeCell ref="H5:I5"/>
    <mergeCell ref="H9:I9"/>
    <mergeCell ref="H13:I13"/>
    <mergeCell ref="H18:I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3E64-B4F2-4FFE-9F02-B7872B1AE826}">
  <dimension ref="A1:H20"/>
  <sheetViews>
    <sheetView workbookViewId="0">
      <selection activeCell="D8" sqref="D8"/>
    </sheetView>
  </sheetViews>
  <sheetFormatPr defaultRowHeight="14.4" x14ac:dyDescent="0.3"/>
  <cols>
    <col min="8" max="8" width="19.6640625" bestFit="1" customWidth="1"/>
  </cols>
  <sheetData>
    <row r="1" spans="1:8" x14ac:dyDescent="0.3">
      <c r="A1" s="15" t="s">
        <v>23</v>
      </c>
      <c r="B1" s="15" t="s">
        <v>24</v>
      </c>
      <c r="C1" s="15" t="s">
        <v>25</v>
      </c>
      <c r="D1" s="15" t="s">
        <v>26</v>
      </c>
    </row>
    <row r="2" spans="1:8" x14ac:dyDescent="0.3">
      <c r="A2" s="16" t="s">
        <v>27</v>
      </c>
      <c r="B2" s="16" t="s">
        <v>28</v>
      </c>
      <c r="C2" s="16" t="s">
        <v>29</v>
      </c>
      <c r="D2" s="16">
        <v>3000</v>
      </c>
      <c r="G2" s="28" t="s">
        <v>94</v>
      </c>
      <c r="H2" s="28"/>
    </row>
    <row r="3" spans="1:8" x14ac:dyDescent="0.3">
      <c r="A3" s="16" t="s">
        <v>30</v>
      </c>
      <c r="B3" s="16" t="s">
        <v>31</v>
      </c>
      <c r="C3" s="16" t="s">
        <v>32</v>
      </c>
      <c r="D3" s="16">
        <v>5000</v>
      </c>
      <c r="G3" s="3"/>
      <c r="H3" s="3" t="s">
        <v>83</v>
      </c>
    </row>
    <row r="4" spans="1:8" x14ac:dyDescent="0.3">
      <c r="A4" s="16" t="s">
        <v>33</v>
      </c>
      <c r="B4" s="16" t="s">
        <v>34</v>
      </c>
      <c r="C4" s="16" t="s">
        <v>35</v>
      </c>
      <c r="D4" s="16">
        <v>4000</v>
      </c>
      <c r="G4" s="2" t="s">
        <v>33</v>
      </c>
      <c r="H4" s="3" t="str">
        <f>VLOOKUP(G4,A1:D6,3,0)</f>
        <v>SQL</v>
      </c>
    </row>
    <row r="5" spans="1:8" x14ac:dyDescent="0.3">
      <c r="A5" s="16" t="s">
        <v>36</v>
      </c>
      <c r="B5" s="16" t="s">
        <v>37</v>
      </c>
      <c r="C5" s="16" t="s">
        <v>38</v>
      </c>
      <c r="D5" s="16">
        <v>6000</v>
      </c>
    </row>
    <row r="6" spans="1:8" x14ac:dyDescent="0.3">
      <c r="A6" s="16" t="s">
        <v>39</v>
      </c>
      <c r="B6" s="16" t="s">
        <v>40</v>
      </c>
      <c r="C6" s="16" t="s">
        <v>41</v>
      </c>
      <c r="D6" s="16">
        <v>4500</v>
      </c>
      <c r="G6" s="28" t="s">
        <v>80</v>
      </c>
      <c r="H6" s="28"/>
    </row>
    <row r="7" spans="1:8" x14ac:dyDescent="0.3">
      <c r="G7" s="3"/>
      <c r="H7" s="3" t="s">
        <v>84</v>
      </c>
    </row>
    <row r="8" spans="1:8" x14ac:dyDescent="0.3">
      <c r="G8" s="2" t="s">
        <v>36</v>
      </c>
      <c r="H8" s="3">
        <f>VLOOKUP(G8,A1:D6,4,0)</f>
        <v>6000</v>
      </c>
    </row>
    <row r="10" spans="1:8" x14ac:dyDescent="0.3">
      <c r="G10" s="28" t="s">
        <v>82</v>
      </c>
      <c r="H10" s="28"/>
    </row>
    <row r="11" spans="1:8" x14ac:dyDescent="0.3">
      <c r="G11" s="3"/>
      <c r="H11" s="3" t="s">
        <v>24</v>
      </c>
    </row>
    <row r="12" spans="1:8" x14ac:dyDescent="0.3">
      <c r="G12" s="2" t="s">
        <v>27</v>
      </c>
      <c r="H12" s="3" t="str">
        <f>VLOOKUP(G12,A1:D6,2,0)</f>
        <v>Rohan</v>
      </c>
    </row>
    <row r="13" spans="1:8" ht="15" thickBot="1" x14ac:dyDescent="0.35"/>
    <row r="14" spans="1:8" x14ac:dyDescent="0.3">
      <c r="A14" s="17">
        <v>1</v>
      </c>
      <c r="B14" s="7" t="s">
        <v>19</v>
      </c>
      <c r="C14" s="7"/>
      <c r="D14" s="7"/>
      <c r="E14" s="8"/>
      <c r="G14" s="28" t="s">
        <v>92</v>
      </c>
      <c r="H14" s="28"/>
    </row>
    <row r="15" spans="1:8" x14ac:dyDescent="0.3">
      <c r="A15" s="18"/>
      <c r="B15" s="10"/>
      <c r="C15" s="10"/>
      <c r="D15" s="10"/>
      <c r="E15" s="11"/>
      <c r="G15" s="3"/>
      <c r="H15" s="3" t="s">
        <v>26</v>
      </c>
    </row>
    <row r="16" spans="1:8" x14ac:dyDescent="0.3">
      <c r="A16" s="18">
        <v>2</v>
      </c>
      <c r="B16" s="10" t="s">
        <v>20</v>
      </c>
      <c r="C16" s="10"/>
      <c r="D16" s="10"/>
      <c r="E16" s="11"/>
      <c r="G16" s="2" t="s">
        <v>36</v>
      </c>
      <c r="H16" s="3">
        <f>VLOOKUP(G16,A1:D6,4,0)</f>
        <v>6000</v>
      </c>
    </row>
    <row r="17" spans="1:5" x14ac:dyDescent="0.3">
      <c r="A17" s="18"/>
      <c r="B17" s="10"/>
      <c r="C17" s="10"/>
      <c r="D17" s="10"/>
      <c r="E17" s="11"/>
    </row>
    <row r="18" spans="1:5" x14ac:dyDescent="0.3">
      <c r="A18" s="18">
        <v>3</v>
      </c>
      <c r="B18" s="10" t="s">
        <v>21</v>
      </c>
      <c r="C18" s="10"/>
      <c r="D18" s="10"/>
      <c r="E18" s="11"/>
    </row>
    <row r="19" spans="1:5" x14ac:dyDescent="0.3">
      <c r="A19" s="18"/>
      <c r="B19" s="10"/>
      <c r="C19" s="10"/>
      <c r="D19" s="10"/>
      <c r="E19" s="11"/>
    </row>
    <row r="20" spans="1:5" ht="15" thickBot="1" x14ac:dyDescent="0.35">
      <c r="A20" s="19">
        <v>4</v>
      </c>
      <c r="B20" s="13" t="s">
        <v>22</v>
      </c>
      <c r="C20" s="13"/>
      <c r="D20" s="13"/>
      <c r="E20" s="14"/>
    </row>
  </sheetData>
  <mergeCells count="4">
    <mergeCell ref="G2:H2"/>
    <mergeCell ref="G6:H6"/>
    <mergeCell ref="G10:H10"/>
    <mergeCell ref="G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9813-5D05-4812-8774-428524A507F1}">
  <dimension ref="A1:S22"/>
  <sheetViews>
    <sheetView workbookViewId="0">
      <selection activeCell="D15" sqref="D15"/>
    </sheetView>
  </sheetViews>
  <sheetFormatPr defaultRowHeight="14.4" x14ac:dyDescent="0.3"/>
  <cols>
    <col min="3" max="3" width="11.6640625" customWidth="1"/>
    <col min="5" max="5" width="9.21875" bestFit="1" customWidth="1"/>
    <col min="6" max="6" width="12.21875" customWidth="1"/>
    <col min="8" max="8" width="21.44140625" bestFit="1" customWidth="1"/>
  </cols>
  <sheetData>
    <row r="1" spans="1:19" ht="14.4" customHeight="1" thickBot="1" x14ac:dyDescent="0.35">
      <c r="A1" s="20" t="s">
        <v>42</v>
      </c>
      <c r="B1" s="20" t="s">
        <v>24</v>
      </c>
      <c r="C1" s="20" t="s">
        <v>43</v>
      </c>
      <c r="D1" s="20" t="s">
        <v>44</v>
      </c>
      <c r="E1" s="20" t="s">
        <v>45</v>
      </c>
    </row>
    <row r="2" spans="1:19" x14ac:dyDescent="0.3">
      <c r="A2" s="21" t="s">
        <v>46</v>
      </c>
      <c r="B2" s="21" t="s">
        <v>97</v>
      </c>
      <c r="C2" s="21" t="s">
        <v>48</v>
      </c>
      <c r="D2" s="21">
        <v>35000</v>
      </c>
      <c r="E2" s="21" t="s">
        <v>49</v>
      </c>
      <c r="G2" s="28" t="s">
        <v>94</v>
      </c>
      <c r="H2" s="28"/>
      <c r="M2" s="33" t="s">
        <v>75</v>
      </c>
      <c r="N2" s="34"/>
      <c r="O2" s="34"/>
      <c r="P2" s="34"/>
      <c r="Q2" s="34"/>
      <c r="R2" s="34"/>
      <c r="S2" s="35"/>
    </row>
    <row r="3" spans="1:19" x14ac:dyDescent="0.3">
      <c r="A3" s="21" t="s">
        <v>50</v>
      </c>
      <c r="B3" s="21" t="s">
        <v>37</v>
      </c>
      <c r="C3" s="21" t="s">
        <v>52</v>
      </c>
      <c r="D3" s="21">
        <v>50000</v>
      </c>
      <c r="E3" s="21" t="s">
        <v>53</v>
      </c>
      <c r="G3" s="3"/>
      <c r="H3" s="3" t="s">
        <v>85</v>
      </c>
      <c r="M3" s="36"/>
      <c r="N3" s="32"/>
      <c r="O3" s="32"/>
      <c r="P3" s="32"/>
      <c r="Q3" s="32"/>
      <c r="R3" s="32"/>
      <c r="S3" s="37"/>
    </row>
    <row r="4" spans="1:19" x14ac:dyDescent="0.3">
      <c r="A4" s="21" t="s">
        <v>54</v>
      </c>
      <c r="B4" s="21" t="s">
        <v>51</v>
      </c>
      <c r="C4" s="21" t="s">
        <v>98</v>
      </c>
      <c r="D4" s="21">
        <v>45000</v>
      </c>
      <c r="E4" s="21" t="s">
        <v>56</v>
      </c>
      <c r="G4" s="2" t="s">
        <v>57</v>
      </c>
      <c r="H4" s="3" t="str">
        <f>VLOOKUP(G4,A2:E6,2,0)</f>
        <v>Priya</v>
      </c>
      <c r="M4" s="36" t="s">
        <v>76</v>
      </c>
      <c r="N4" s="32"/>
      <c r="O4" s="32"/>
      <c r="P4" s="54" t="s">
        <v>115</v>
      </c>
      <c r="Q4" s="32"/>
      <c r="R4" s="32"/>
      <c r="S4" s="37"/>
    </row>
    <row r="5" spans="1:19" ht="14.4" customHeight="1" x14ac:dyDescent="0.3">
      <c r="A5" s="21" t="s">
        <v>57</v>
      </c>
      <c r="B5" s="21" t="s">
        <v>55</v>
      </c>
      <c r="C5" s="21" t="s">
        <v>52</v>
      </c>
      <c r="D5" s="21">
        <v>52000</v>
      </c>
      <c r="E5" s="21" t="s">
        <v>59</v>
      </c>
      <c r="M5" s="36"/>
      <c r="N5" s="32"/>
      <c r="O5" s="32"/>
      <c r="P5" s="32"/>
      <c r="Q5" s="32"/>
      <c r="R5" s="32"/>
      <c r="S5" s="37"/>
    </row>
    <row r="6" spans="1:19" ht="14.4" customHeight="1" x14ac:dyDescent="0.3">
      <c r="A6" s="21" t="s">
        <v>60</v>
      </c>
      <c r="B6" s="21" t="s">
        <v>58</v>
      </c>
      <c r="C6" s="21" t="s">
        <v>62</v>
      </c>
      <c r="D6" s="21">
        <v>40000</v>
      </c>
      <c r="E6" s="21" t="s">
        <v>99</v>
      </c>
      <c r="G6" s="28" t="s">
        <v>80</v>
      </c>
      <c r="H6" s="28"/>
      <c r="M6" s="36" t="s">
        <v>77</v>
      </c>
      <c r="N6" s="32"/>
      <c r="O6" s="32"/>
      <c r="P6" s="32"/>
      <c r="Q6" s="32"/>
      <c r="R6" s="32"/>
      <c r="S6" s="37"/>
    </row>
    <row r="7" spans="1:19" x14ac:dyDescent="0.3">
      <c r="A7" s="21" t="s">
        <v>100</v>
      </c>
      <c r="B7" s="21" t="s">
        <v>47</v>
      </c>
      <c r="C7" s="21" t="s">
        <v>48</v>
      </c>
      <c r="D7" s="21">
        <v>36000</v>
      </c>
      <c r="E7" s="21" t="s">
        <v>49</v>
      </c>
      <c r="G7" s="3"/>
      <c r="H7" s="3" t="s">
        <v>43</v>
      </c>
      <c r="M7" s="36"/>
      <c r="N7" s="32"/>
      <c r="O7" s="32"/>
      <c r="P7" s="32"/>
      <c r="Q7" s="32"/>
      <c r="R7" s="32"/>
      <c r="S7" s="37"/>
    </row>
    <row r="8" spans="1:19" x14ac:dyDescent="0.3">
      <c r="A8" s="21" t="s">
        <v>101</v>
      </c>
      <c r="B8" s="21" t="s">
        <v>103</v>
      </c>
      <c r="C8" s="21" t="s">
        <v>98</v>
      </c>
      <c r="D8" s="21">
        <v>47000</v>
      </c>
      <c r="E8" s="21" t="s">
        <v>53</v>
      </c>
      <c r="G8" s="2" t="s">
        <v>54</v>
      </c>
      <c r="H8" s="3" t="str">
        <f>VLOOKUP(G8,A2:E6,3,0)</f>
        <v>Finance</v>
      </c>
      <c r="M8" s="36" t="s">
        <v>105</v>
      </c>
      <c r="N8" s="32"/>
      <c r="O8" s="32"/>
      <c r="P8" s="32"/>
      <c r="Q8" s="32"/>
      <c r="R8" s="32"/>
      <c r="S8" s="37"/>
    </row>
    <row r="9" spans="1:19" x14ac:dyDescent="0.3">
      <c r="A9" s="21" t="s">
        <v>102</v>
      </c>
      <c r="B9" s="21" t="s">
        <v>61</v>
      </c>
      <c r="C9" s="21" t="s">
        <v>62</v>
      </c>
      <c r="D9" s="21">
        <v>42000</v>
      </c>
      <c r="E9" s="21" t="s">
        <v>63</v>
      </c>
      <c r="M9" s="36"/>
      <c r="N9" s="32"/>
      <c r="O9" s="32"/>
      <c r="P9" s="32"/>
      <c r="Q9" s="32"/>
      <c r="R9" s="32"/>
      <c r="S9" s="37"/>
    </row>
    <row r="10" spans="1:19" x14ac:dyDescent="0.3">
      <c r="G10" s="28" t="s">
        <v>82</v>
      </c>
      <c r="H10" s="28"/>
      <c r="J10" s="28" t="s">
        <v>92</v>
      </c>
      <c r="K10" s="28"/>
      <c r="M10" s="36" t="s">
        <v>95</v>
      </c>
      <c r="N10" s="32"/>
      <c r="O10" s="32"/>
      <c r="P10" s="32"/>
      <c r="Q10" s="32"/>
      <c r="R10" s="32"/>
      <c r="S10" s="37"/>
    </row>
    <row r="11" spans="1:19" x14ac:dyDescent="0.3">
      <c r="G11" s="22"/>
      <c r="H11" s="3" t="s">
        <v>44</v>
      </c>
      <c r="J11" s="31"/>
      <c r="K11" s="41" t="s">
        <v>45</v>
      </c>
      <c r="M11" s="36"/>
      <c r="N11" s="32"/>
      <c r="O11" s="32"/>
      <c r="P11" s="32"/>
      <c r="Q11" s="32"/>
      <c r="R11" s="32"/>
      <c r="S11" s="37"/>
    </row>
    <row r="12" spans="1:19" ht="15" thickBot="1" x14ac:dyDescent="0.35">
      <c r="G12" s="23" t="s">
        <v>102</v>
      </c>
      <c r="H12" s="3">
        <f>VLOOKUP(G12,A2:E9,4,0)</f>
        <v>42000</v>
      </c>
      <c r="J12" s="42" t="s">
        <v>60</v>
      </c>
      <c r="K12" s="31" t="str">
        <f>VLOOKUP(J12,A2:E9,5,0)</f>
        <v>Pune</v>
      </c>
      <c r="M12" s="38" t="s">
        <v>96</v>
      </c>
      <c r="N12" s="39"/>
      <c r="O12" s="39"/>
      <c r="P12" s="39"/>
      <c r="Q12" s="39"/>
      <c r="R12" s="39"/>
      <c r="S12" s="40"/>
    </row>
    <row r="14" spans="1:19" x14ac:dyDescent="0.3">
      <c r="G14" s="29" t="s">
        <v>93</v>
      </c>
      <c r="H14" s="28"/>
    </row>
    <row r="15" spans="1:19" x14ac:dyDescent="0.3">
      <c r="G15" s="22"/>
      <c r="H15" s="3" t="s">
        <v>86</v>
      </c>
    </row>
    <row r="16" spans="1:19" x14ac:dyDescent="0.3">
      <c r="G16" s="22"/>
      <c r="H16" s="3"/>
    </row>
    <row r="17" spans="7:8" x14ac:dyDescent="0.3">
      <c r="G17" s="22"/>
      <c r="H17" s="3"/>
    </row>
    <row r="18" spans="7:8" x14ac:dyDescent="0.3">
      <c r="G18" s="23" t="s">
        <v>50</v>
      </c>
      <c r="H18" s="3">
        <f>VLOOKUP(G18,A2:E6,4,0)</f>
        <v>50000</v>
      </c>
    </row>
    <row r="20" spans="7:8" x14ac:dyDescent="0.3">
      <c r="G20" s="29" t="s">
        <v>104</v>
      </c>
      <c r="H20" s="28"/>
    </row>
    <row r="21" spans="7:8" x14ac:dyDescent="0.3">
      <c r="G21" s="22"/>
      <c r="H21" s="3" t="s">
        <v>87</v>
      </c>
    </row>
    <row r="22" spans="7:8" x14ac:dyDescent="0.3">
      <c r="G22" s="2" t="s">
        <v>46</v>
      </c>
      <c r="H22" s="3" t="str">
        <f>VLOOKUP(G22,A2:E6,3,0)</f>
        <v>HR</v>
      </c>
    </row>
  </sheetData>
  <mergeCells count="6">
    <mergeCell ref="J10:K10"/>
    <mergeCell ref="G2:H2"/>
    <mergeCell ref="G6:H6"/>
    <mergeCell ref="G10:H10"/>
    <mergeCell ref="G14:H14"/>
    <mergeCell ref="G20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D4D4-0435-4E5E-99FB-BC1458B2B3BC}">
  <dimension ref="A1:I21"/>
  <sheetViews>
    <sheetView tabSelected="1" workbookViewId="0">
      <selection activeCell="N12" sqref="N12"/>
    </sheetView>
  </sheetViews>
  <sheetFormatPr defaultRowHeight="14.4" x14ac:dyDescent="0.3"/>
  <cols>
    <col min="1" max="1" width="10.33203125" customWidth="1"/>
    <col min="9" max="9" width="20" bestFit="1" customWidth="1"/>
  </cols>
  <sheetData>
    <row r="1" spans="1:9" ht="15" customHeight="1" x14ac:dyDescent="0.3">
      <c r="A1" s="24" t="s">
        <v>64</v>
      </c>
      <c r="B1" s="24" t="s">
        <v>24</v>
      </c>
      <c r="C1" s="24" t="s">
        <v>65</v>
      </c>
      <c r="D1" s="24" t="s">
        <v>66</v>
      </c>
      <c r="E1" s="24" t="s">
        <v>67</v>
      </c>
    </row>
    <row r="2" spans="1:9" x14ac:dyDescent="0.3">
      <c r="A2" s="25" t="s">
        <v>108</v>
      </c>
      <c r="B2" s="25" t="s">
        <v>113</v>
      </c>
      <c r="C2" s="25">
        <v>78</v>
      </c>
      <c r="D2" s="25">
        <v>82</v>
      </c>
      <c r="E2" s="25">
        <v>74</v>
      </c>
      <c r="H2" s="30" t="s">
        <v>94</v>
      </c>
      <c r="I2" s="30"/>
    </row>
    <row r="3" spans="1:9" x14ac:dyDescent="0.3">
      <c r="A3" s="25" t="s">
        <v>109</v>
      </c>
      <c r="B3" s="25" t="s">
        <v>114</v>
      </c>
      <c r="C3" s="25">
        <v>65</v>
      </c>
      <c r="D3" s="25">
        <v>70</v>
      </c>
      <c r="E3" s="25">
        <v>68</v>
      </c>
      <c r="H3" s="3"/>
      <c r="I3" s="3" t="s">
        <v>88</v>
      </c>
    </row>
    <row r="4" spans="1:9" x14ac:dyDescent="0.3">
      <c r="A4" s="25" t="s">
        <v>110</v>
      </c>
      <c r="B4" s="25" t="s">
        <v>68</v>
      </c>
      <c r="C4" s="25">
        <v>88</v>
      </c>
      <c r="D4" s="25">
        <v>91</v>
      </c>
      <c r="E4" s="25">
        <v>85</v>
      </c>
      <c r="H4" s="2" t="s">
        <v>110</v>
      </c>
      <c r="I4" s="3">
        <f>VLOOKUP(H4,A2:E6,3,0)</f>
        <v>88</v>
      </c>
    </row>
    <row r="5" spans="1:9" x14ac:dyDescent="0.3">
      <c r="A5" s="25" t="s">
        <v>111</v>
      </c>
      <c r="B5" s="25" t="s">
        <v>58</v>
      </c>
      <c r="C5" s="25">
        <v>72</v>
      </c>
      <c r="D5" s="25">
        <v>75</v>
      </c>
      <c r="E5" s="25">
        <v>70</v>
      </c>
    </row>
    <row r="6" spans="1:9" x14ac:dyDescent="0.3">
      <c r="A6" s="25" t="s">
        <v>112</v>
      </c>
      <c r="B6" s="25" t="s">
        <v>69</v>
      </c>
      <c r="C6" s="25">
        <v>90</v>
      </c>
      <c r="D6" s="25">
        <v>93</v>
      </c>
      <c r="E6" s="25">
        <v>89</v>
      </c>
      <c r="H6" s="30" t="s">
        <v>80</v>
      </c>
      <c r="I6" s="30"/>
    </row>
    <row r="7" spans="1:9" x14ac:dyDescent="0.3">
      <c r="H7" s="3"/>
      <c r="I7" s="3" t="s">
        <v>89</v>
      </c>
    </row>
    <row r="8" spans="1:9" x14ac:dyDescent="0.3">
      <c r="H8" s="2" t="s">
        <v>109</v>
      </c>
      <c r="I8" s="3">
        <f>VLOOKUP(H8,A2:E6,4,0)</f>
        <v>70</v>
      </c>
    </row>
    <row r="10" spans="1:9" ht="15" thickBot="1" x14ac:dyDescent="0.35">
      <c r="H10" s="30" t="s">
        <v>82</v>
      </c>
      <c r="I10" s="30"/>
    </row>
    <row r="11" spans="1:9" x14ac:dyDescent="0.3">
      <c r="A11" s="45" t="s">
        <v>70</v>
      </c>
      <c r="B11" s="46"/>
      <c r="C11" s="47" t="s">
        <v>106</v>
      </c>
      <c r="D11" s="46"/>
      <c r="E11" s="46"/>
      <c r="F11" s="48"/>
      <c r="H11" s="3"/>
      <c r="I11" s="3" t="s">
        <v>90</v>
      </c>
    </row>
    <row r="12" spans="1:9" x14ac:dyDescent="0.3">
      <c r="A12" s="49"/>
      <c r="B12" s="43"/>
      <c r="C12" s="43"/>
      <c r="D12" s="43"/>
      <c r="E12" s="43"/>
      <c r="F12" s="50"/>
      <c r="H12" s="2" t="s">
        <v>112</v>
      </c>
      <c r="I12" s="3">
        <f>VLOOKUP(H12,A2:E6,5,0)</f>
        <v>89</v>
      </c>
    </row>
    <row r="13" spans="1:9" x14ac:dyDescent="0.3">
      <c r="A13" s="49" t="s">
        <v>71</v>
      </c>
      <c r="B13" s="43"/>
      <c r="C13" s="44" t="s">
        <v>107</v>
      </c>
      <c r="D13" s="43"/>
      <c r="E13" s="43"/>
      <c r="F13" s="50"/>
    </row>
    <row r="14" spans="1:9" x14ac:dyDescent="0.3">
      <c r="A14" s="49"/>
      <c r="B14" s="43"/>
      <c r="C14" s="43"/>
      <c r="D14" s="43"/>
      <c r="E14" s="43"/>
      <c r="F14" s="50"/>
      <c r="H14" s="30" t="s">
        <v>92</v>
      </c>
      <c r="I14" s="30"/>
    </row>
    <row r="15" spans="1:9" x14ac:dyDescent="0.3">
      <c r="A15" s="49" t="s">
        <v>72</v>
      </c>
      <c r="B15" s="43"/>
      <c r="C15" s="43"/>
      <c r="D15" s="43"/>
      <c r="E15" s="43"/>
      <c r="F15" s="50"/>
      <c r="H15" s="3"/>
      <c r="I15" s="3" t="s">
        <v>24</v>
      </c>
    </row>
    <row r="16" spans="1:9" x14ac:dyDescent="0.3">
      <c r="A16" s="49"/>
      <c r="B16" s="43"/>
      <c r="C16" s="43"/>
      <c r="D16" s="43"/>
      <c r="E16" s="43"/>
      <c r="F16" s="50"/>
      <c r="H16" s="2" t="s">
        <v>108</v>
      </c>
      <c r="I16" s="3" t="str">
        <f>VLOOKUP(H16,A2:E6,2,0)</f>
        <v>Asha</v>
      </c>
    </row>
    <row r="17" spans="1:9" x14ac:dyDescent="0.3">
      <c r="A17" s="49" t="s">
        <v>73</v>
      </c>
      <c r="B17" s="43"/>
      <c r="C17" s="43"/>
      <c r="D17" s="43"/>
      <c r="E17" s="43"/>
      <c r="F17" s="50"/>
    </row>
    <row r="18" spans="1:9" x14ac:dyDescent="0.3">
      <c r="A18" s="49"/>
      <c r="B18" s="43"/>
      <c r="C18" s="43"/>
      <c r="D18" s="43"/>
      <c r="E18" s="43"/>
      <c r="F18" s="50"/>
    </row>
    <row r="19" spans="1:9" ht="15" thickBot="1" x14ac:dyDescent="0.35">
      <c r="A19" s="51" t="s">
        <v>74</v>
      </c>
      <c r="B19" s="52"/>
      <c r="C19" s="52"/>
      <c r="D19" s="52"/>
      <c r="E19" s="52"/>
      <c r="F19" s="53"/>
      <c r="H19" s="30" t="s">
        <v>93</v>
      </c>
      <c r="I19" s="30"/>
    </row>
    <row r="20" spans="1:9" x14ac:dyDescent="0.3">
      <c r="H20" s="3"/>
      <c r="I20" s="3" t="s">
        <v>91</v>
      </c>
    </row>
    <row r="21" spans="1:9" x14ac:dyDescent="0.3">
      <c r="H21" s="2" t="s">
        <v>110</v>
      </c>
      <c r="I21" s="3">
        <f>VLOOKUP(H21,A2:E6,4,0)</f>
        <v>91</v>
      </c>
    </row>
  </sheetData>
  <mergeCells count="5">
    <mergeCell ref="H2:I2"/>
    <mergeCell ref="H6:I6"/>
    <mergeCell ref="H10:I10"/>
    <mergeCell ref="H14:I14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CHANDRIMA</cp:lastModifiedBy>
  <dcterms:created xsi:type="dcterms:W3CDTF">2026-03-10T07:31:58Z</dcterms:created>
  <dcterms:modified xsi:type="dcterms:W3CDTF">2026-03-10T19:14:27Z</dcterms:modified>
</cp:coreProperties>
</file>